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崎久保秀一\Desktop\ClaudeWork\代理受領フォルダ\"/>
    </mc:Choice>
  </mc:AlternateContent>
  <xr:revisionPtr revIDLastSave="0" documentId="13_ncr:1_{F64E55AF-D0B9-462F-ABAC-F637DC2C3851}" xr6:coauthVersionLast="47" xr6:coauthVersionMax="47" xr10:uidLastSave="{00000000-0000-0000-0000-000000000000}"/>
  <bookViews>
    <workbookView xWindow="1740" yWindow="3216" windowWidth="17280" windowHeight="9960" activeTab="2" xr2:uid="{00000000-000D-0000-FFFF-FFFF00000000}"/>
  </bookViews>
  <sheets>
    <sheet name="事業者情報" sheetId="2" r:id="rId1"/>
    <sheet name="受給者情報" sheetId="6" r:id="rId2"/>
    <sheet name="原本" sheetId="69" r:id="rId3"/>
  </sheets>
  <definedNames>
    <definedName name="_xlnm.Print_Area" localSheetId="2">原本!$B$2:$I$44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1" i="6"/>
  <c r="H30" i="69"/>
  <c r="H33" i="69" s="1"/>
  <c r="F24" i="69" s="1"/>
  <c r="D7" i="69"/>
  <c r="D8" i="69"/>
  <c r="H19" i="69"/>
  <c r="H18" i="69"/>
  <c r="H17" i="69"/>
</calcChain>
</file>

<file path=xl/sharedStrings.xml><?xml version="1.0" encoding="utf-8"?>
<sst xmlns="http://schemas.openxmlformats.org/spreadsheetml/2006/main" count="163" uniqueCount="121">
  <si>
    <t>事業者情報管理</t>
    <rPh sb="0" eb="3">
      <t>ジギョウシャ</t>
    </rPh>
    <rPh sb="3" eb="5">
      <t>ジョウホウ</t>
    </rPh>
    <rPh sb="5" eb="7">
      <t>カンリ</t>
    </rPh>
    <phoneticPr fontId="5"/>
  </si>
  <si>
    <t>事業者（請求者）名</t>
    <rPh sb="0" eb="3">
      <t>ジギョウシャ</t>
    </rPh>
    <rPh sb="4" eb="7">
      <t>セイキュウシャ</t>
    </rPh>
    <rPh sb="8" eb="9">
      <t>メイ</t>
    </rPh>
    <phoneticPr fontId="5"/>
  </si>
  <si>
    <t>株式会社TRINITYPARTNERS</t>
    <rPh sb="0" eb="2">
      <t>カブシキ</t>
    </rPh>
    <rPh sb="2" eb="4">
      <t>カイシャ</t>
    </rPh>
    <phoneticPr fontId="5"/>
  </si>
  <si>
    <t>事業所名</t>
    <rPh sb="0" eb="2">
      <t>ジギョウ</t>
    </rPh>
    <rPh sb="2" eb="3">
      <t>ショ</t>
    </rPh>
    <rPh sb="3" eb="4">
      <t>メイ</t>
    </rPh>
    <phoneticPr fontId="5"/>
  </si>
  <si>
    <t>Ｈａｒｅｒｕｂａｓｅ　Ｋａｒｉｙａグループホーム奏</t>
    <phoneticPr fontId="5"/>
  </si>
  <si>
    <t>代表者職名</t>
    <rPh sb="0" eb="3">
      <t>ダイヒョウシャ</t>
    </rPh>
    <rPh sb="3" eb="5">
      <t>ショクメイ</t>
    </rPh>
    <phoneticPr fontId="5"/>
  </si>
  <si>
    <t>代表取締役社長</t>
  </si>
  <si>
    <t>代表者氏名</t>
    <rPh sb="0" eb="3">
      <t>ダイヒョウシャ</t>
    </rPh>
    <rPh sb="3" eb="5">
      <t>シメイ</t>
    </rPh>
    <phoneticPr fontId="5"/>
  </si>
  <si>
    <t>澤田昌志</t>
  </si>
  <si>
    <t>事業者電話番号</t>
    <rPh sb="0" eb="3">
      <t>ジギョウシャ</t>
    </rPh>
    <rPh sb="3" eb="5">
      <t>デンワ</t>
    </rPh>
    <rPh sb="5" eb="7">
      <t>バンゴウ</t>
    </rPh>
    <phoneticPr fontId="5"/>
  </si>
  <si>
    <t>0566-63-6817</t>
  </si>
  <si>
    <t>事業者FAX番号</t>
    <rPh sb="0" eb="3">
      <t>ジギョウシャ</t>
    </rPh>
    <rPh sb="6" eb="8">
      <t>バンゴウ</t>
    </rPh>
    <phoneticPr fontId="5"/>
  </si>
  <si>
    <t>0566-63-6818</t>
  </si>
  <si>
    <t>受給者番号</t>
    <rPh sb="0" eb="5">
      <t>ジュキュウシャバンゴウ</t>
    </rPh>
    <phoneticPr fontId="5"/>
  </si>
  <si>
    <t>氏名</t>
    <rPh sb="0" eb="2">
      <t>シメイ</t>
    </rPh>
    <phoneticPr fontId="5"/>
  </si>
  <si>
    <t>受給者番号</t>
    <rPh sb="0" eb="3">
      <t>ジュキュウシャ</t>
    </rPh>
    <rPh sb="3" eb="5">
      <t>バンゴウ</t>
    </rPh>
    <phoneticPr fontId="5"/>
  </si>
  <si>
    <t>利用者氏名</t>
  </si>
  <si>
    <t>代理受領額通知書</t>
    <rPh sb="0" eb="5">
      <t>ダイリジュリョウガク</t>
    </rPh>
    <rPh sb="5" eb="8">
      <t>ツウチショ</t>
    </rPh>
    <phoneticPr fontId="5"/>
  </si>
  <si>
    <t>事業者</t>
    <rPh sb="0" eb="3">
      <t>ジギョウシャ</t>
    </rPh>
    <phoneticPr fontId="5"/>
  </si>
  <si>
    <t>HarerubaseKariya
グループホーム奏</t>
  </si>
  <si>
    <t>代表者</t>
    <rPh sb="0" eb="3">
      <t>ダイヒョウシャ</t>
    </rPh>
    <phoneticPr fontId="5"/>
  </si>
  <si>
    <t>電話</t>
    <rPh sb="0" eb="2">
      <t>デンワ</t>
    </rPh>
    <phoneticPr fontId="5"/>
  </si>
  <si>
    <t>FAX</t>
    <phoneticPr fontId="5"/>
  </si>
  <si>
    <t>￥</t>
  </si>
  <si>
    <t>（AーB＋C）</t>
  </si>
  <si>
    <t>総サービス費(A)</t>
  </si>
  <si>
    <t>利用者負担額(B)</t>
  </si>
  <si>
    <t>特定障害者給付費(C)</t>
  </si>
  <si>
    <t>円</t>
  </si>
  <si>
    <t>様</t>
  </si>
  <si>
    <t>支給元市区町村</t>
  </si>
  <si>
    <t>受給日</t>
  </si>
  <si>
    <t>総支給額（単位）</t>
  </si>
  <si>
    <t>単位</t>
  </si>
  <si>
    <t>総支給額（円）</t>
  </si>
  <si>
    <t>合計</t>
  </si>
  <si>
    <t>東原　尚輝</t>
  </si>
  <si>
    <t>篠田　周平</t>
  </si>
  <si>
    <t>天野　正視</t>
  </si>
  <si>
    <t>斉藤　吟</t>
  </si>
  <si>
    <t>磯村　英男</t>
  </si>
  <si>
    <t>古池　陸</t>
  </si>
  <si>
    <t>芦澤　凛</t>
  </si>
  <si>
    <t>西山　希望</t>
  </si>
  <si>
    <t>筒井　奈都美</t>
  </si>
  <si>
    <t>加藤　則子</t>
  </si>
  <si>
    <t>森口　真紀子</t>
  </si>
  <si>
    <t>長尾　夏江</t>
  </si>
  <si>
    <t>福田　奈央　</t>
  </si>
  <si>
    <t>葛原　千草</t>
  </si>
  <si>
    <t>二方　萌衣</t>
  </si>
  <si>
    <t>岡田英樹</t>
    <phoneticPr fontId="5"/>
  </si>
  <si>
    <t>植山　隆</t>
    <phoneticPr fontId="5"/>
  </si>
  <si>
    <t>成田清行</t>
    <phoneticPr fontId="5"/>
  </si>
  <si>
    <t>西濱泰斗</t>
    <rPh sb="0" eb="1">
      <t>ニシ</t>
    </rPh>
    <rPh sb="1" eb="2">
      <t>ハマ</t>
    </rPh>
    <rPh sb="2" eb="4">
      <t>タイト</t>
    </rPh>
    <phoneticPr fontId="8"/>
  </si>
  <si>
    <t>榊原隼翔</t>
    <phoneticPr fontId="5"/>
  </si>
  <si>
    <t>朝原和樹</t>
    <phoneticPr fontId="5"/>
  </si>
  <si>
    <t>西出崇</t>
    <rPh sb="0" eb="2">
      <t>ニシデ</t>
    </rPh>
    <rPh sb="2" eb="3">
      <t>タカシ</t>
    </rPh>
    <phoneticPr fontId="8"/>
  </si>
  <si>
    <t>村瀬昭裕</t>
    <rPh sb="0" eb="2">
      <t>ムラセ</t>
    </rPh>
    <rPh sb="2" eb="4">
      <t>アキヒロ</t>
    </rPh>
    <phoneticPr fontId="8"/>
  </si>
  <si>
    <t>中田有賀里</t>
    <rPh sb="0" eb="2">
      <t xml:space="preserve">ナカタ </t>
    </rPh>
    <rPh sb="3" eb="4">
      <t xml:space="preserve">ガ </t>
    </rPh>
    <rPh sb="4" eb="5">
      <t xml:space="preserve">サト </t>
    </rPh>
    <phoneticPr fontId="5"/>
  </si>
  <si>
    <t>加藤大輔</t>
    <rPh sb="0" eb="1">
      <t xml:space="preserve">カトウ </t>
    </rPh>
    <rPh sb="2" eb="4">
      <t xml:space="preserve">ダイスケ </t>
    </rPh>
    <phoneticPr fontId="5"/>
  </si>
  <si>
    <t>長谷部かす美</t>
    <rPh sb="0" eb="1">
      <t xml:space="preserve">ハセベ </t>
    </rPh>
    <rPh sb="5" eb="6">
      <t>🐍</t>
    </rPh>
    <phoneticPr fontId="5"/>
  </si>
  <si>
    <t xml:space="preserve"> 共同生活援助</t>
    <rPh sb="1" eb="3">
      <t xml:space="preserve">キョウドウ </t>
    </rPh>
    <rPh sb="3" eb="5">
      <t xml:space="preserve">セイカツ </t>
    </rPh>
    <rPh sb="5" eb="7">
      <t xml:space="preserve">エンジョ </t>
    </rPh>
    <phoneticPr fontId="5"/>
  </si>
  <si>
    <t>短期入所</t>
    <rPh sb="0" eb="4">
      <t xml:space="preserve">タンキニュウショ </t>
    </rPh>
    <phoneticPr fontId="5"/>
  </si>
  <si>
    <t>花井聡香</t>
  </si>
  <si>
    <t>安田佳奈</t>
  </si>
  <si>
    <t>ローダジャスティン</t>
  </si>
  <si>
    <t>荒川友彰</t>
  </si>
  <si>
    <t>須原俊樹</t>
  </si>
  <si>
    <t>中島純子</t>
  </si>
  <si>
    <t>小林萌楓</t>
  </si>
  <si>
    <t>中村安伸</t>
  </si>
  <si>
    <t>飯久保智彦</t>
  </si>
  <si>
    <t>渕上舞</t>
  </si>
  <si>
    <t>鈴木友瑠</t>
  </si>
  <si>
    <t>蟹江くるみ</t>
  </si>
  <si>
    <t>三輪セーザル</t>
  </si>
  <si>
    <t>黒田瞳</t>
  </si>
  <si>
    <t>磯村英男</t>
  </si>
  <si>
    <t>端慶山愛梨</t>
  </si>
  <si>
    <t>栗木健治</t>
  </si>
  <si>
    <t>井野真由美</t>
  </si>
  <si>
    <t>佐野友彦</t>
  </si>
  <si>
    <t>阿南加奈恵</t>
  </si>
  <si>
    <t>西山希望</t>
  </si>
  <si>
    <t>吉田陽恵</t>
  </si>
  <si>
    <t>猿子遼</t>
  </si>
  <si>
    <t>酒井花純</t>
  </si>
  <si>
    <t>公文彩友美</t>
  </si>
  <si>
    <t>長坂宙</t>
  </si>
  <si>
    <t>豊田市</t>
    <rPh sb="0" eb="3">
      <t xml:space="preserve">トヨタシ </t>
    </rPh>
    <phoneticPr fontId="5"/>
  </si>
  <si>
    <t>刈谷市</t>
    <rPh sb="0" eb="3">
      <t xml:space="preserve">カリヤシ </t>
    </rPh>
    <phoneticPr fontId="5"/>
  </si>
  <si>
    <t>名古屋市</t>
    <rPh sb="0" eb="4">
      <t xml:space="preserve">ナゴヤシ </t>
    </rPh>
    <phoneticPr fontId="5"/>
  </si>
  <si>
    <t>下記のとおり、契約書に基づき障害福祉サービス等に要した費用を代理受領しましたので、お知らせします。</t>
    <rPh sb="0" eb="2">
      <t>カキ</t>
    </rPh>
    <rPh sb="7" eb="9">
      <t>ケイヤク</t>
    </rPh>
    <rPh sb="9" eb="10">
      <t>ショ</t>
    </rPh>
    <rPh sb="11" eb="12">
      <t>モト</t>
    </rPh>
    <rPh sb="14" eb="18">
      <t>ショウガイフクシ</t>
    </rPh>
    <rPh sb="22" eb="23">
      <t>トウ</t>
    </rPh>
    <rPh sb="24" eb="25">
      <t>ヨウ</t>
    </rPh>
    <rPh sb="27" eb="29">
      <t>ヒヨウ</t>
    </rPh>
    <rPh sb="30" eb="34">
      <t>ダイリジュリョウ</t>
    </rPh>
    <rPh sb="42" eb="43">
      <t>シ</t>
    </rPh>
    <phoneticPr fontId="5"/>
  </si>
  <si>
    <t>請求書ではありません</t>
    <rPh sb="0" eb="3">
      <t xml:space="preserve">セイキュウショ </t>
    </rPh>
    <phoneticPr fontId="5"/>
  </si>
  <si>
    <t>サービス種別</t>
    <rPh sb="4" eb="6">
      <t xml:space="preserve">シュベツ </t>
    </rPh>
    <phoneticPr fontId="5"/>
  </si>
  <si>
    <t>共同生活援助</t>
    <rPh sb="0" eb="6">
      <t xml:space="preserve">キョウドウセイカツエンジョ </t>
    </rPh>
    <phoneticPr fontId="5"/>
  </si>
  <si>
    <t>市町村</t>
    <rPh sb="0" eb="3">
      <t xml:space="preserve">シチョウソン </t>
    </rPh>
    <phoneticPr fontId="5"/>
  </si>
  <si>
    <t>安城市</t>
    <rPh sb="0" eb="2">
      <t xml:space="preserve">アンジョウ </t>
    </rPh>
    <rPh sb="2" eb="3">
      <t xml:space="preserve">シ </t>
    </rPh>
    <phoneticPr fontId="5"/>
  </si>
  <si>
    <t>井野真由美</t>
    <rPh sb="0" eb="1">
      <t xml:space="preserve">イノ </t>
    </rPh>
    <rPh sb="2" eb="3">
      <t xml:space="preserve">マユミ </t>
    </rPh>
    <phoneticPr fontId="5"/>
  </si>
  <si>
    <t>刈谷市</t>
    <rPh sb="0" eb="1">
      <t xml:space="preserve">カリヤシ </t>
    </rPh>
    <phoneticPr fontId="5"/>
  </si>
  <si>
    <t>岩間砂恵子</t>
    <rPh sb="0" eb="2">
      <t xml:space="preserve">イワマ </t>
    </rPh>
    <rPh sb="2" eb="3">
      <t xml:space="preserve">スナ </t>
    </rPh>
    <rPh sb="3" eb="4">
      <t xml:space="preserve">メグミ </t>
    </rPh>
    <rPh sb="4" eb="5">
      <t xml:space="preserve">コ </t>
    </rPh>
    <phoneticPr fontId="5"/>
  </si>
  <si>
    <t>碧南市</t>
    <rPh sb="0" eb="3">
      <t xml:space="preserve">ヘキナンシ </t>
    </rPh>
    <phoneticPr fontId="5"/>
  </si>
  <si>
    <t>安城市</t>
    <rPh sb="0" eb="1">
      <t xml:space="preserve">アンジョウシ </t>
    </rPh>
    <phoneticPr fontId="5"/>
  </si>
  <si>
    <t>安城市</t>
    <rPh sb="0" eb="3">
      <t xml:space="preserve">アンジョウシ </t>
    </rPh>
    <phoneticPr fontId="5"/>
  </si>
  <si>
    <t>碧南市</t>
    <rPh sb="0" eb="1">
      <t xml:space="preserve">ヘキナンシ </t>
    </rPh>
    <phoneticPr fontId="5"/>
  </si>
  <si>
    <t>新見瑛亮</t>
    <rPh sb="0" eb="2">
      <t xml:space="preserve">ニイミ </t>
    </rPh>
    <rPh sb="2" eb="3">
      <t xml:space="preserve">エイ </t>
    </rPh>
    <rPh sb="3" eb="4">
      <t xml:space="preserve">リョウ </t>
    </rPh>
    <phoneticPr fontId="5"/>
  </si>
  <si>
    <t>知立市</t>
    <rPh sb="0" eb="2">
      <t xml:space="preserve">チリュウ </t>
    </rPh>
    <rPh sb="2" eb="3">
      <t xml:space="preserve">シ </t>
    </rPh>
    <phoneticPr fontId="5"/>
  </si>
  <si>
    <t>大府市</t>
    <rPh sb="0" eb="3">
      <t xml:space="preserve">オオブシ </t>
    </rPh>
    <phoneticPr fontId="5"/>
  </si>
  <si>
    <t>大府市</t>
    <rPh sb="0" eb="1">
      <t xml:space="preserve">オオブシ </t>
    </rPh>
    <phoneticPr fontId="5"/>
  </si>
  <si>
    <t>知立市</t>
    <rPh sb="0" eb="1">
      <t xml:space="preserve">チリュウシ </t>
    </rPh>
    <rPh sb="2" eb="3">
      <t xml:space="preserve">シ </t>
    </rPh>
    <phoneticPr fontId="5"/>
  </si>
  <si>
    <t>高浜市</t>
    <rPh sb="0" eb="2">
      <t xml:space="preserve">タカハマ </t>
    </rPh>
    <rPh sb="2" eb="3">
      <t xml:space="preserve">シ </t>
    </rPh>
    <phoneticPr fontId="5"/>
  </si>
  <si>
    <t>知立市</t>
    <rPh sb="0" eb="2">
      <t xml:space="preserve">チリュウシ </t>
    </rPh>
    <rPh sb="2" eb="3">
      <t xml:space="preserve">シ </t>
    </rPh>
    <phoneticPr fontId="5"/>
  </si>
  <si>
    <t>東浦町</t>
    <rPh sb="0" eb="2">
      <t xml:space="preserve">ヒガシウラ </t>
    </rPh>
    <rPh sb="2" eb="3">
      <t xml:space="preserve">マチ </t>
    </rPh>
    <phoneticPr fontId="5"/>
  </si>
  <si>
    <t>豊明市</t>
    <rPh sb="0" eb="3">
      <t xml:space="preserve">トヨアケシ </t>
    </rPh>
    <phoneticPr fontId="5"/>
  </si>
  <si>
    <t>東浦町</t>
    <rPh sb="0" eb="1">
      <t xml:space="preserve">ヒガシウラ </t>
    </rPh>
    <rPh sb="2" eb="3">
      <t xml:space="preserve">マチ </t>
    </rPh>
    <phoneticPr fontId="5"/>
  </si>
  <si>
    <t>知多市</t>
    <rPh sb="0" eb="2">
      <t xml:space="preserve">チタ </t>
    </rPh>
    <rPh sb="2" eb="3">
      <t xml:space="preserve">シ </t>
    </rPh>
    <phoneticPr fontId="5"/>
  </si>
  <si>
    <t>知多市</t>
    <rPh sb="0" eb="1">
      <t xml:space="preserve">チタシ </t>
    </rPh>
    <phoneticPr fontId="5"/>
  </si>
  <si>
    <t>東海市</t>
    <rPh sb="0" eb="3">
      <t xml:space="preserve">トウカイシ </t>
    </rPh>
    <phoneticPr fontId="5"/>
  </si>
  <si>
    <t>月分サービス費</t>
    <rPh sb="0" eb="2">
      <t xml:space="preserve">ツキブン </t>
    </rPh>
    <rPh sb="6" eb="7">
      <t xml:space="preserve">ヒ </t>
    </rPh>
    <phoneticPr fontId="5"/>
  </si>
  <si>
    <t>株式会社
TRINITY PARTNERS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</si>
</sst>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11]ggge&quot;年&quot;m&quot;月&quot;d&quot;日&quot;;@"/>
    <numFmt numFmtId="177" formatCode="0000000000"/>
    <numFmt numFmtId="178" formatCode="[&lt;=999]000;[&lt;=9999]000\-00;000\-0000"/>
    <numFmt numFmtId="179" formatCode="0_);[Red]\(0\)"/>
  </numFmts>
  <fonts count="24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rgb="FF000000"/>
      <name val="游ゴシック Light"/>
      <family val="2"/>
      <scheme val="major"/>
    </font>
    <font>
      <sz val="14"/>
      <color theme="1"/>
      <name val="游ゴシック Light"/>
      <family val="2"/>
      <scheme val="maj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游ゴシック Light"/>
      <family val="2"/>
      <scheme val="major"/>
    </font>
    <font>
      <sz val="12"/>
      <color theme="1"/>
      <name val="游ゴシック Light"/>
      <family val="2"/>
      <scheme val="major"/>
    </font>
    <font>
      <sz val="11"/>
      <color theme="1"/>
      <name val="Yu Gothic"/>
      <family val="3"/>
      <charset val="128"/>
    </font>
    <font>
      <b/>
      <sz val="26"/>
      <color rgb="FFFF0000"/>
      <name val="游ゴシック"/>
      <family val="3"/>
      <charset val="128"/>
    </font>
    <font>
      <sz val="12"/>
      <color theme="1"/>
      <name val="Yu Gothic"/>
      <family val="3"/>
      <charset val="128"/>
    </font>
    <font>
      <sz val="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7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176" fontId="6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178" fontId="0" fillId="0" borderId="2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0" fontId="14" fillId="0" borderId="2" xfId="0" applyFont="1" applyBorder="1">
      <alignment vertical="center"/>
    </xf>
    <xf numFmtId="0" fontId="0" fillId="0" borderId="0" xfId="0" applyAlignment="1">
      <alignment horizontal="right" vertical="center"/>
    </xf>
    <xf numFmtId="0" fontId="16" fillId="0" borderId="7" xfId="0" applyFont="1" applyBorder="1">
      <alignment vertical="center"/>
    </xf>
    <xf numFmtId="38" fontId="7" fillId="0" borderId="0" xfId="1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10" xfId="0" applyFont="1" applyBorder="1">
      <alignment vertical="center"/>
    </xf>
    <xf numFmtId="0" fontId="15" fillId="0" borderId="13" xfId="0" applyFont="1" applyBorder="1">
      <alignment vertical="center"/>
    </xf>
    <xf numFmtId="0" fontId="15" fillId="0" borderId="5" xfId="0" applyFont="1" applyBorder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2" fillId="0" borderId="0" xfId="0" applyFont="1">
      <alignment vertical="center"/>
    </xf>
    <xf numFmtId="38" fontId="7" fillId="0" borderId="0" xfId="1" applyFont="1" applyBorder="1" applyAlignment="1">
      <alignment vertical="center"/>
    </xf>
    <xf numFmtId="38" fontId="7" fillId="0" borderId="0" xfId="0" applyNumberFormat="1" applyFont="1">
      <alignment vertical="center"/>
    </xf>
    <xf numFmtId="0" fontId="6" fillId="0" borderId="0" xfId="0" applyFont="1" applyAlignment="1">
      <alignment vertical="center" textRotation="255"/>
    </xf>
    <xf numFmtId="0" fontId="6" fillId="0" borderId="0" xfId="0" applyFont="1" applyAlignment="1">
      <alignment vertical="center" textRotation="255" wrapText="1"/>
    </xf>
    <xf numFmtId="0" fontId="7" fillId="0" borderId="0" xfId="0" applyFont="1" applyAlignment="1">
      <alignment vertical="center" textRotation="255"/>
    </xf>
    <xf numFmtId="0" fontId="6" fillId="0" borderId="0" xfId="0" applyFont="1" applyAlignment="1">
      <alignment vertical="center" wrapText="1"/>
    </xf>
    <xf numFmtId="0" fontId="9" fillId="0" borderId="3" xfId="0" applyFont="1" applyBorder="1">
      <alignment vertical="center"/>
    </xf>
    <xf numFmtId="0" fontId="18" fillId="0" borderId="6" xfId="0" applyFont="1" applyBorder="1">
      <alignment vertical="center"/>
    </xf>
    <xf numFmtId="0" fontId="19" fillId="0" borderId="7" xfId="0" applyFont="1" applyBorder="1">
      <alignment vertical="center"/>
    </xf>
    <xf numFmtId="0" fontId="9" fillId="0" borderId="9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11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9" fillId="0" borderId="13" xfId="0" applyFont="1" applyBorder="1">
      <alignment vertical="center"/>
    </xf>
    <xf numFmtId="0" fontId="11" fillId="2" borderId="0" xfId="0" applyFont="1" applyFill="1" applyAlignment="1">
      <alignment horizontal="center" vertical="center"/>
    </xf>
    <xf numFmtId="38" fontId="13" fillId="2" borderId="0" xfId="1" applyFont="1" applyFill="1" applyAlignment="1">
      <alignment vertical="center"/>
    </xf>
    <xf numFmtId="38" fontId="14" fillId="0" borderId="0" xfId="1" applyFont="1" applyBorder="1" applyAlignment="1">
      <alignment vertical="center"/>
    </xf>
    <xf numFmtId="0" fontId="14" fillId="0" borderId="0" xfId="0" applyFont="1">
      <alignment vertical="center"/>
    </xf>
    <xf numFmtId="0" fontId="6" fillId="0" borderId="0" xfId="0" applyFont="1" applyAlignment="1">
      <alignment vertical="top" wrapText="1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>
      <alignment vertical="center"/>
    </xf>
    <xf numFmtId="0" fontId="20" fillId="3" borderId="2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textRotation="91"/>
    </xf>
    <xf numFmtId="179" fontId="0" fillId="0" borderId="2" xfId="0" applyNumberFormat="1" applyBorder="1">
      <alignment vertical="center"/>
    </xf>
    <xf numFmtId="38" fontId="10" fillId="0" borderId="10" xfId="1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22" fillId="3" borderId="2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38" fontId="15" fillId="0" borderId="12" xfId="1" applyFont="1" applyBorder="1">
      <alignment vertical="center"/>
    </xf>
    <xf numFmtId="38" fontId="15" fillId="0" borderId="5" xfId="1" applyFont="1" applyBorder="1">
      <alignment vertical="center"/>
    </xf>
    <xf numFmtId="38" fontId="15" fillId="0" borderId="14" xfId="1" applyFont="1" applyBorder="1">
      <alignment vertical="center"/>
    </xf>
    <xf numFmtId="38" fontId="15" fillId="0" borderId="8" xfId="1" applyFont="1" applyBorder="1">
      <alignment vertical="center"/>
    </xf>
    <xf numFmtId="38" fontId="7" fillId="0" borderId="0" xfId="1" applyFont="1">
      <alignment vertical="center"/>
    </xf>
    <xf numFmtId="58" fontId="0" fillId="0" borderId="0" xfId="0" applyNumberFormat="1">
      <alignment vertical="center"/>
    </xf>
    <xf numFmtId="58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58" fontId="9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 wrapText="1"/>
    </xf>
    <xf numFmtId="0" fontId="2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32"/>
  <sheetViews>
    <sheetView zoomScaleNormal="100" workbookViewId="0">
      <selection activeCell="L33" sqref="L33"/>
    </sheetView>
  </sheetViews>
  <sheetFormatPr defaultColWidth="8.796875" defaultRowHeight="18"/>
  <cols>
    <col min="2" max="2" width="19.19921875" bestFit="1" customWidth="1"/>
    <col min="3" max="3" width="42" customWidth="1"/>
    <col min="5" max="6" width="9" customWidth="1"/>
  </cols>
  <sheetData>
    <row r="2" spans="2:3">
      <c r="B2" t="s">
        <v>0</v>
      </c>
    </row>
    <row r="3" spans="2:3">
      <c r="B3" s="3" t="s">
        <v>1</v>
      </c>
      <c r="C3" s="3" t="s">
        <v>2</v>
      </c>
    </row>
    <row r="4" spans="2:3">
      <c r="B4" s="3" t="s">
        <v>3</v>
      </c>
      <c r="C4" s="15" t="s">
        <v>4</v>
      </c>
    </row>
    <row r="5" spans="2:3">
      <c r="B5" s="3" t="s">
        <v>5</v>
      </c>
      <c r="C5" s="3" t="s">
        <v>6</v>
      </c>
    </row>
    <row r="6" spans="2:3">
      <c r="B6" s="3" t="s">
        <v>7</v>
      </c>
      <c r="C6" s="3" t="s">
        <v>8</v>
      </c>
    </row>
    <row r="7" spans="2:3">
      <c r="B7" s="3" t="s">
        <v>9</v>
      </c>
      <c r="C7" s="14" t="s">
        <v>10</v>
      </c>
    </row>
    <row r="8" spans="2:3">
      <c r="B8" s="3" t="s">
        <v>11</v>
      </c>
      <c r="C8" s="14" t="s">
        <v>12</v>
      </c>
    </row>
    <row r="25" spans="3:8" ht="19.8">
      <c r="C25" s="61">
        <v>10</v>
      </c>
      <c r="D25" s="61" t="s">
        <v>119</v>
      </c>
    </row>
    <row r="29" spans="3:8">
      <c r="E29" s="69">
        <v>46010</v>
      </c>
    </row>
    <row r="31" spans="3:8">
      <c r="H31">
        <f>H30</f>
        <v>0</v>
      </c>
    </row>
    <row r="32" spans="3:8">
      <c r="H32">
        <v>0</v>
      </c>
    </row>
  </sheetData>
  <phoneticPr fontId="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52"/>
  <sheetViews>
    <sheetView zoomScale="136" zoomScaleNormal="80" workbookViewId="0">
      <selection activeCell="L33" sqref="L33"/>
    </sheetView>
  </sheetViews>
  <sheetFormatPr defaultColWidth="8.796875" defaultRowHeight="18"/>
  <cols>
    <col min="1" max="1" width="9.69921875" customWidth="1"/>
    <col min="2" max="2" width="13" bestFit="1" customWidth="1"/>
    <col min="3" max="3" width="18.69921875" customWidth="1"/>
    <col min="4" max="4" width="5.69921875" customWidth="1"/>
    <col min="5" max="5" width="10" customWidth="1"/>
    <col min="6" max="6" width="13.5" customWidth="1"/>
    <col min="7" max="7" width="17.296875" customWidth="1"/>
    <col min="8" max="8" width="18.69921875" customWidth="1"/>
    <col min="9" max="12" width="21.69921875" customWidth="1"/>
  </cols>
  <sheetData>
    <row r="1" spans="1:13">
      <c r="B1" s="72" t="s">
        <v>62</v>
      </c>
      <c r="C1" s="73"/>
      <c r="D1" s="52"/>
      <c r="E1" s="52"/>
      <c r="F1" s="74" t="s">
        <v>63</v>
      </c>
      <c r="G1" s="75"/>
    </row>
    <row r="2" spans="1:13">
      <c r="A2" s="3" t="s">
        <v>97</v>
      </c>
      <c r="B2" s="49" t="s">
        <v>13</v>
      </c>
      <c r="C2" s="49" t="s">
        <v>14</v>
      </c>
      <c r="D2" s="3"/>
      <c r="E2" s="52" t="s">
        <v>97</v>
      </c>
      <c r="F2" s="51" t="s">
        <v>13</v>
      </c>
      <c r="G2" s="51" t="s">
        <v>14</v>
      </c>
      <c r="H2" s="3"/>
      <c r="I2" s="3"/>
      <c r="J2" s="3"/>
      <c r="K2" s="3"/>
      <c r="L2" s="3"/>
    </row>
    <row r="3" spans="1:13">
      <c r="A3" s="53" t="s">
        <v>104</v>
      </c>
      <c r="B3" s="4">
        <v>2000006458</v>
      </c>
      <c r="C3" s="49" t="s">
        <v>51</v>
      </c>
      <c r="D3" s="53">
        <v>1</v>
      </c>
      <c r="E3" s="53" t="s">
        <v>91</v>
      </c>
      <c r="F3" s="58">
        <v>3000021745</v>
      </c>
      <c r="G3" s="51" t="s">
        <v>64</v>
      </c>
      <c r="H3" s="3"/>
      <c r="I3" s="3"/>
      <c r="J3" s="3"/>
      <c r="K3" s="3"/>
      <c r="L3" s="3"/>
      <c r="M3" s="2"/>
    </row>
    <row r="4" spans="1:13">
      <c r="A4" s="53" t="s">
        <v>90</v>
      </c>
      <c r="B4" s="4">
        <v>55268411</v>
      </c>
      <c r="C4" s="49" t="s">
        <v>52</v>
      </c>
      <c r="D4" s="53">
        <v>2</v>
      </c>
      <c r="E4" s="53" t="s">
        <v>103</v>
      </c>
      <c r="F4" s="4">
        <v>2000009122</v>
      </c>
      <c r="G4" s="51" t="s">
        <v>65</v>
      </c>
      <c r="H4" s="3"/>
      <c r="I4" s="3"/>
      <c r="J4" s="3"/>
      <c r="K4" s="3"/>
      <c r="L4" s="3"/>
    </row>
    <row r="5" spans="1:13">
      <c r="A5" s="53" t="s">
        <v>113</v>
      </c>
      <c r="B5" s="4">
        <v>3000005243</v>
      </c>
      <c r="C5" s="49" t="s">
        <v>53</v>
      </c>
      <c r="D5" s="53">
        <v>3</v>
      </c>
      <c r="E5" s="53" t="s">
        <v>91</v>
      </c>
      <c r="F5" s="4">
        <v>3000013817</v>
      </c>
      <c r="G5" s="51" t="s">
        <v>66</v>
      </c>
      <c r="H5" s="3"/>
      <c r="I5" s="3"/>
      <c r="J5" s="3"/>
      <c r="K5" s="3"/>
      <c r="L5" s="3"/>
    </row>
    <row r="6" spans="1:13">
      <c r="A6" s="53" t="s">
        <v>91</v>
      </c>
      <c r="B6" s="4">
        <v>3000012793</v>
      </c>
      <c r="C6" s="49" t="s">
        <v>54</v>
      </c>
      <c r="D6" s="53">
        <v>4</v>
      </c>
      <c r="E6" s="53" t="s">
        <v>104</v>
      </c>
      <c r="F6" s="4">
        <v>491191</v>
      </c>
      <c r="G6" s="51" t="s">
        <v>67</v>
      </c>
      <c r="H6" s="3"/>
      <c r="I6" s="3"/>
      <c r="J6" s="3"/>
      <c r="K6" s="3"/>
      <c r="L6" s="3"/>
    </row>
    <row r="7" spans="1:13">
      <c r="A7" s="53" t="s">
        <v>102</v>
      </c>
      <c r="B7" s="4">
        <v>778563</v>
      </c>
      <c r="C7" s="49" t="s">
        <v>55</v>
      </c>
      <c r="D7" s="53">
        <v>5</v>
      </c>
      <c r="E7" s="53" t="s">
        <v>91</v>
      </c>
      <c r="F7" s="4">
        <v>3000005029</v>
      </c>
      <c r="G7" s="51" t="s">
        <v>68</v>
      </c>
      <c r="H7" s="3"/>
      <c r="I7" s="3"/>
      <c r="J7" s="3"/>
      <c r="K7" s="3"/>
      <c r="L7" s="3"/>
    </row>
    <row r="8" spans="1:13">
      <c r="A8" s="53" t="s">
        <v>100</v>
      </c>
      <c r="B8" s="4">
        <v>3000011357</v>
      </c>
      <c r="C8" s="49" t="s">
        <v>56</v>
      </c>
      <c r="D8" s="53">
        <v>6</v>
      </c>
      <c r="E8" s="53" t="s">
        <v>114</v>
      </c>
      <c r="F8" s="4">
        <v>2294000812</v>
      </c>
      <c r="G8" s="51" t="s">
        <v>69</v>
      </c>
      <c r="H8" s="3"/>
      <c r="I8" s="3"/>
      <c r="J8" s="3"/>
      <c r="K8" s="3"/>
      <c r="L8" s="3"/>
    </row>
    <row r="9" spans="1:13">
      <c r="A9" s="53" t="s">
        <v>115</v>
      </c>
      <c r="B9" s="4">
        <v>6000008646</v>
      </c>
      <c r="C9" s="49" t="s">
        <v>57</v>
      </c>
      <c r="D9" s="53">
        <v>7</v>
      </c>
      <c r="E9" s="53" t="s">
        <v>91</v>
      </c>
      <c r="F9" s="4">
        <v>3000015655</v>
      </c>
      <c r="G9" s="51" t="s">
        <v>70</v>
      </c>
      <c r="H9" s="3"/>
      <c r="I9" s="3"/>
      <c r="J9" s="3"/>
      <c r="K9" s="3"/>
      <c r="L9" s="3"/>
    </row>
    <row r="10" spans="1:13">
      <c r="A10" s="53" t="s">
        <v>111</v>
      </c>
      <c r="B10" s="4">
        <v>1180</v>
      </c>
      <c r="C10" s="49" t="s">
        <v>58</v>
      </c>
      <c r="D10" s="53">
        <v>8</v>
      </c>
      <c r="E10" s="53" t="s">
        <v>115</v>
      </c>
      <c r="F10" s="4">
        <v>3000006423</v>
      </c>
      <c r="G10" s="51" t="s">
        <v>71</v>
      </c>
      <c r="H10" s="3"/>
      <c r="I10" s="3"/>
      <c r="J10" s="3"/>
      <c r="K10" s="3"/>
      <c r="L10" s="3"/>
    </row>
    <row r="11" spans="1:13">
      <c r="A11" s="53" t="s">
        <v>92</v>
      </c>
      <c r="B11" s="4">
        <v>122663</v>
      </c>
      <c r="C11" s="50" t="s">
        <v>38</v>
      </c>
      <c r="D11" s="53">
        <v>9</v>
      </c>
      <c r="E11" s="53" t="s">
        <v>91</v>
      </c>
      <c r="F11" s="4">
        <v>3000000954</v>
      </c>
      <c r="G11" s="51" t="s">
        <v>72</v>
      </c>
      <c r="H11" s="3"/>
      <c r="I11" s="3"/>
      <c r="J11" s="3"/>
      <c r="K11" s="3"/>
      <c r="L11" s="3"/>
    </row>
    <row r="12" spans="1:13">
      <c r="A12" s="53" t="s">
        <v>117</v>
      </c>
      <c r="B12" s="4">
        <v>2419519208</v>
      </c>
      <c r="C12" s="50" t="s">
        <v>36</v>
      </c>
      <c r="D12" s="53">
        <v>10</v>
      </c>
      <c r="E12" s="53" t="s">
        <v>107</v>
      </c>
      <c r="F12" s="4">
        <v>1826</v>
      </c>
      <c r="G12" s="51" t="s">
        <v>73</v>
      </c>
      <c r="H12" s="3"/>
      <c r="I12" s="3"/>
      <c r="J12" s="3"/>
      <c r="K12" s="3"/>
      <c r="L12" s="3"/>
    </row>
    <row r="13" spans="1:13">
      <c r="A13" s="53" t="s">
        <v>98</v>
      </c>
      <c r="B13" s="4">
        <v>2000004818</v>
      </c>
      <c r="C13" s="50" t="s">
        <v>37</v>
      </c>
      <c r="D13" s="53">
        <v>11</v>
      </c>
      <c r="E13" s="53" t="s">
        <v>112</v>
      </c>
      <c r="F13" s="4">
        <v>6536</v>
      </c>
      <c r="G13" s="51" t="s">
        <v>74</v>
      </c>
      <c r="H13" s="3"/>
      <c r="I13" s="3"/>
      <c r="J13" s="3"/>
      <c r="K13" s="3"/>
      <c r="L13" s="3"/>
    </row>
    <row r="14" spans="1:13">
      <c r="A14" s="53" t="s">
        <v>105</v>
      </c>
      <c r="B14" s="4">
        <v>9018171323</v>
      </c>
      <c r="C14" s="50" t="s">
        <v>39</v>
      </c>
      <c r="D14" s="53">
        <v>12</v>
      </c>
      <c r="E14" s="53" t="s">
        <v>91</v>
      </c>
      <c r="F14" s="4">
        <v>3000012348</v>
      </c>
      <c r="G14" s="51" t="s">
        <v>75</v>
      </c>
      <c r="H14" s="3"/>
      <c r="I14" s="3"/>
      <c r="J14" s="3"/>
      <c r="K14" s="3"/>
      <c r="L14" s="3"/>
    </row>
    <row r="15" spans="1:13">
      <c r="A15" s="53" t="s">
        <v>91</v>
      </c>
      <c r="B15" s="4">
        <v>3000000962</v>
      </c>
      <c r="C15" s="50" t="s">
        <v>40</v>
      </c>
      <c r="D15" s="53">
        <v>13</v>
      </c>
      <c r="E15" s="53" t="s">
        <v>108</v>
      </c>
      <c r="F15" s="4">
        <v>2319928210</v>
      </c>
      <c r="G15" s="51" t="s">
        <v>76</v>
      </c>
      <c r="H15" s="3"/>
      <c r="I15" s="3"/>
      <c r="J15" s="3"/>
      <c r="K15" s="3"/>
      <c r="L15" s="3"/>
    </row>
    <row r="16" spans="1:13">
      <c r="A16" s="53" t="s">
        <v>91</v>
      </c>
      <c r="B16" s="4">
        <v>3000019590</v>
      </c>
      <c r="C16" s="50" t="s">
        <v>41</v>
      </c>
      <c r="D16" s="53">
        <v>14</v>
      </c>
      <c r="E16" s="53" t="s">
        <v>110</v>
      </c>
      <c r="F16" s="4">
        <v>2196</v>
      </c>
      <c r="G16" s="51" t="s">
        <v>77</v>
      </c>
      <c r="H16" s="3"/>
      <c r="I16" s="3"/>
      <c r="J16" s="3"/>
      <c r="K16" s="3"/>
      <c r="L16" s="3"/>
    </row>
    <row r="17" spans="1:12">
      <c r="A17" s="53" t="s">
        <v>103</v>
      </c>
      <c r="B17" s="4">
        <v>2000009338</v>
      </c>
      <c r="C17" s="50" t="s">
        <v>42</v>
      </c>
      <c r="D17" s="53">
        <v>15</v>
      </c>
      <c r="E17" s="53" t="s">
        <v>91</v>
      </c>
      <c r="F17" s="4">
        <v>3000000962</v>
      </c>
      <c r="G17" s="51" t="s">
        <v>78</v>
      </c>
      <c r="H17" s="3"/>
      <c r="I17" s="3"/>
      <c r="J17" s="3"/>
      <c r="K17" s="3"/>
      <c r="L17" s="3"/>
    </row>
    <row r="18" spans="1:12">
      <c r="A18" s="53" t="s">
        <v>104</v>
      </c>
      <c r="B18" s="4">
        <v>2000009072</v>
      </c>
      <c r="C18" s="50" t="s">
        <v>43</v>
      </c>
      <c r="D18" s="53">
        <v>16</v>
      </c>
      <c r="E18" s="53" t="s">
        <v>111</v>
      </c>
      <c r="F18" s="4">
        <v>1000006104</v>
      </c>
      <c r="G18" s="51" t="s">
        <v>79</v>
      </c>
      <c r="H18" s="3"/>
      <c r="I18" s="3"/>
      <c r="J18" s="3"/>
      <c r="K18" s="3"/>
      <c r="L18" s="3"/>
    </row>
    <row r="19" spans="1:12">
      <c r="A19" s="53" t="s">
        <v>118</v>
      </c>
      <c r="B19" s="4">
        <v>6000001708</v>
      </c>
      <c r="C19" s="50" t="s">
        <v>44</v>
      </c>
      <c r="D19" s="53">
        <v>17</v>
      </c>
      <c r="E19" s="53" t="s">
        <v>91</v>
      </c>
      <c r="F19" s="4">
        <v>3000016489</v>
      </c>
      <c r="G19" s="51" t="s">
        <v>80</v>
      </c>
      <c r="H19" s="3"/>
      <c r="I19" s="3"/>
      <c r="J19" s="3"/>
      <c r="K19" s="3"/>
      <c r="L19" s="3"/>
    </row>
    <row r="20" spans="1:12">
      <c r="A20" s="53" t="s">
        <v>91</v>
      </c>
      <c r="B20" s="4">
        <v>3000010052</v>
      </c>
      <c r="C20" s="50" t="s">
        <v>45</v>
      </c>
      <c r="D20" s="53">
        <v>18</v>
      </c>
      <c r="E20" s="53" t="s">
        <v>91</v>
      </c>
      <c r="F20" s="4">
        <v>3000015572</v>
      </c>
      <c r="G20" s="51" t="s">
        <v>81</v>
      </c>
      <c r="H20" s="3"/>
      <c r="I20" s="3"/>
      <c r="J20" s="3"/>
      <c r="K20" s="3"/>
      <c r="L20" s="3"/>
    </row>
    <row r="21" spans="1:12">
      <c r="A21" s="53" t="s">
        <v>113</v>
      </c>
      <c r="B21" s="4">
        <v>3000000236</v>
      </c>
      <c r="C21" s="50" t="s">
        <v>46</v>
      </c>
      <c r="D21" s="53">
        <v>19</v>
      </c>
      <c r="E21" s="53" t="s">
        <v>91</v>
      </c>
      <c r="F21" s="4">
        <v>3000011571</v>
      </c>
      <c r="G21" s="51" t="s">
        <v>82</v>
      </c>
      <c r="H21" s="3"/>
      <c r="I21" s="3"/>
      <c r="J21" s="3"/>
      <c r="K21" s="3"/>
      <c r="L21" s="3"/>
    </row>
    <row r="22" spans="1:12">
      <c r="A22" s="53" t="s">
        <v>115</v>
      </c>
      <c r="B22" s="4">
        <v>3000004972</v>
      </c>
      <c r="C22" s="50" t="s">
        <v>47</v>
      </c>
      <c r="D22" s="53">
        <v>20</v>
      </c>
      <c r="E22" s="53" t="s">
        <v>91</v>
      </c>
      <c r="F22" s="4">
        <v>3000005722</v>
      </c>
      <c r="G22" s="51" t="s">
        <v>83</v>
      </c>
      <c r="H22" s="3"/>
      <c r="I22" s="3"/>
      <c r="J22" s="3"/>
      <c r="K22" s="3"/>
      <c r="L22" s="3"/>
    </row>
    <row r="23" spans="1:12">
      <c r="A23" s="53" t="s">
        <v>91</v>
      </c>
      <c r="B23" s="4">
        <v>3000019079</v>
      </c>
      <c r="C23" s="50" t="s">
        <v>48</v>
      </c>
      <c r="D23" s="53">
        <v>21</v>
      </c>
      <c r="E23" s="53" t="s">
        <v>104</v>
      </c>
      <c r="F23" s="58">
        <v>2000009072</v>
      </c>
      <c r="G23" s="51" t="s">
        <v>84</v>
      </c>
      <c r="H23" s="3"/>
      <c r="I23" s="3"/>
      <c r="J23" s="3"/>
      <c r="K23" s="3"/>
      <c r="L23" s="3"/>
    </row>
    <row r="24" spans="1:12">
      <c r="A24" s="53" t="s">
        <v>91</v>
      </c>
      <c r="B24" s="4">
        <v>3000021323</v>
      </c>
      <c r="C24" s="50" t="s">
        <v>49</v>
      </c>
      <c r="D24" s="53">
        <v>22</v>
      </c>
      <c r="E24" s="53" t="s">
        <v>91</v>
      </c>
      <c r="F24" s="4">
        <v>3000007249</v>
      </c>
      <c r="G24" s="51" t="s">
        <v>85</v>
      </c>
      <c r="H24" s="3"/>
      <c r="I24" s="3"/>
      <c r="J24" s="3"/>
      <c r="K24" s="3"/>
      <c r="L24" s="3"/>
    </row>
    <row r="25" spans="1:12" ht="19.8">
      <c r="A25" s="53" t="s">
        <v>91</v>
      </c>
      <c r="B25" s="4">
        <v>3000012348</v>
      </c>
      <c r="C25" s="62">
        <v>10</v>
      </c>
      <c r="D25" s="63">
        <v>23</v>
      </c>
      <c r="E25" s="53" t="s">
        <v>104</v>
      </c>
      <c r="F25" s="4">
        <v>3807311</v>
      </c>
      <c r="G25" s="51" t="s">
        <v>86</v>
      </c>
      <c r="H25" s="3"/>
      <c r="I25" s="3"/>
      <c r="J25" s="3"/>
      <c r="K25" s="3"/>
      <c r="L25" s="3"/>
    </row>
    <row r="26" spans="1:12">
      <c r="A26" s="53" t="s">
        <v>116</v>
      </c>
      <c r="B26" s="4">
        <v>2420469211</v>
      </c>
      <c r="C26" s="50" t="s">
        <v>50</v>
      </c>
      <c r="D26" s="53">
        <v>24</v>
      </c>
      <c r="E26" s="53" t="s">
        <v>91</v>
      </c>
      <c r="F26" s="4">
        <v>3000023410</v>
      </c>
      <c r="G26" s="51" t="s">
        <v>87</v>
      </c>
      <c r="H26" s="3"/>
      <c r="I26" s="3"/>
      <c r="J26" s="3"/>
      <c r="K26" s="3"/>
      <c r="L26" s="3"/>
    </row>
    <row r="27" spans="1:12">
      <c r="A27" s="53" t="s">
        <v>104</v>
      </c>
      <c r="B27" s="4">
        <v>1503457</v>
      </c>
      <c r="C27" s="48" t="s">
        <v>61</v>
      </c>
      <c r="D27" s="53">
        <v>25</v>
      </c>
      <c r="E27" s="53" t="s">
        <v>109</v>
      </c>
      <c r="F27" s="4">
        <v>2319115982</v>
      </c>
      <c r="G27" s="51" t="s">
        <v>88</v>
      </c>
      <c r="H27" s="3"/>
      <c r="I27" s="3"/>
      <c r="J27" s="3"/>
      <c r="K27" s="3"/>
      <c r="L27" s="3"/>
    </row>
    <row r="28" spans="1:12">
      <c r="A28" s="53" t="s">
        <v>91</v>
      </c>
      <c r="B28" s="4">
        <v>3000008965</v>
      </c>
      <c r="C28" s="48" t="s">
        <v>59</v>
      </c>
      <c r="D28" s="53">
        <v>26</v>
      </c>
      <c r="E28" s="53" t="s">
        <v>113</v>
      </c>
      <c r="F28" s="4">
        <v>3000005896</v>
      </c>
      <c r="G28" s="51" t="s">
        <v>89</v>
      </c>
      <c r="H28" s="3"/>
      <c r="I28" s="3"/>
      <c r="J28" s="3"/>
      <c r="K28" s="3"/>
      <c r="L28" s="3"/>
    </row>
    <row r="29" spans="1:12">
      <c r="A29" s="53" t="s">
        <v>104</v>
      </c>
      <c r="B29" s="4">
        <v>2000008363</v>
      </c>
      <c r="C29" s="48" t="s">
        <v>60</v>
      </c>
      <c r="D29" s="53">
        <v>27</v>
      </c>
      <c r="E29" s="70">
        <v>46010</v>
      </c>
      <c r="F29" s="4">
        <v>3000015572</v>
      </c>
      <c r="G29" s="51" t="s">
        <v>99</v>
      </c>
      <c r="H29" s="3"/>
      <c r="I29" s="3"/>
      <c r="J29" s="3"/>
      <c r="K29" s="3"/>
      <c r="L29" s="3"/>
    </row>
    <row r="30" spans="1:12">
      <c r="A30" s="53" t="s">
        <v>91</v>
      </c>
      <c r="B30" s="4">
        <v>3000021919</v>
      </c>
      <c r="C30" s="49" t="s">
        <v>101</v>
      </c>
      <c r="D30" s="53">
        <v>28</v>
      </c>
      <c r="E30" s="53" t="s">
        <v>100</v>
      </c>
      <c r="F30" s="58">
        <v>3000006563</v>
      </c>
      <c r="G30" s="51" t="s">
        <v>106</v>
      </c>
      <c r="H30" s="3"/>
      <c r="I30" s="3"/>
      <c r="J30" s="3"/>
      <c r="K30" s="3"/>
      <c r="L30" s="3"/>
    </row>
    <row r="31" spans="1:12">
      <c r="A31" s="53"/>
      <c r="B31" s="4"/>
      <c r="C31" s="49"/>
      <c r="D31" s="53">
        <v>29</v>
      </c>
      <c r="E31" s="53"/>
      <c r="F31" s="58"/>
      <c r="G31" s="51"/>
      <c r="H31" s="3">
        <f>H30</f>
        <v>0</v>
      </c>
      <c r="I31" s="3"/>
      <c r="J31" s="3"/>
      <c r="K31" s="3"/>
      <c r="L31" s="3"/>
    </row>
    <row r="32" spans="1:12">
      <c r="A32" s="53"/>
      <c r="B32" s="4"/>
      <c r="C32" s="49"/>
      <c r="D32" s="53">
        <v>30</v>
      </c>
      <c r="E32" s="53"/>
      <c r="F32" s="58"/>
      <c r="G32" s="51"/>
      <c r="H32" s="3">
        <v>0</v>
      </c>
      <c r="I32" s="3"/>
      <c r="J32" s="3"/>
      <c r="K32" s="3"/>
      <c r="L32" s="3"/>
    </row>
    <row r="33" spans="1:12">
      <c r="A33" s="53"/>
      <c r="B33" s="4"/>
      <c r="C33" s="49"/>
      <c r="D33" s="53">
        <v>31</v>
      </c>
      <c r="E33" s="53"/>
      <c r="F33" s="58"/>
      <c r="G33" s="51"/>
      <c r="H33" s="3"/>
      <c r="I33" s="3"/>
      <c r="J33" s="3"/>
      <c r="K33" s="3"/>
      <c r="L33" s="3"/>
    </row>
    <row r="34" spans="1:12">
      <c r="A34" s="3"/>
      <c r="B34" s="4"/>
      <c r="C34" s="49"/>
      <c r="D34" s="53">
        <v>32</v>
      </c>
      <c r="E34" s="53"/>
      <c r="F34" s="58"/>
      <c r="G34" s="51"/>
      <c r="H34" s="3"/>
      <c r="I34" s="3"/>
      <c r="J34" s="3"/>
      <c r="K34" s="3"/>
      <c r="L34" s="3"/>
    </row>
    <row r="35" spans="1:12">
      <c r="A35" s="3"/>
      <c r="B35" s="4"/>
      <c r="C35" s="49"/>
      <c r="D35" s="53">
        <v>33</v>
      </c>
      <c r="E35" s="53"/>
      <c r="F35" s="58"/>
      <c r="G35" s="51"/>
      <c r="H35" s="3"/>
      <c r="I35" s="3"/>
      <c r="J35" s="3"/>
      <c r="K35" s="3"/>
      <c r="L35" s="3"/>
    </row>
    <row r="36" spans="1:12">
      <c r="B36" s="4"/>
      <c r="C36" s="3"/>
      <c r="D36" s="3"/>
      <c r="E36" s="3"/>
      <c r="F36" s="13"/>
      <c r="G36" s="3"/>
      <c r="H36" s="3"/>
      <c r="I36" s="3"/>
      <c r="J36" s="3"/>
      <c r="K36" s="3"/>
      <c r="L36" s="3"/>
    </row>
    <row r="37" spans="1:12">
      <c r="B37" s="4"/>
      <c r="C37" s="3"/>
      <c r="D37" s="3"/>
      <c r="E37" s="3"/>
      <c r="F37" s="13"/>
      <c r="G37" s="3"/>
      <c r="H37" s="3"/>
      <c r="I37" s="3"/>
      <c r="J37" s="3"/>
      <c r="K37" s="3"/>
      <c r="L37" s="3"/>
    </row>
    <row r="38" spans="1:12">
      <c r="B38" s="4"/>
      <c r="C38" s="3"/>
      <c r="D38" s="3"/>
      <c r="E38" s="3"/>
      <c r="F38" s="13"/>
      <c r="G38" s="3"/>
      <c r="H38" s="3"/>
      <c r="I38" s="3"/>
      <c r="J38" s="3"/>
      <c r="K38" s="3"/>
      <c r="L38" s="3"/>
    </row>
    <row r="39" spans="1:12">
      <c r="B39" s="4"/>
      <c r="C39" s="3"/>
      <c r="D39" s="3"/>
      <c r="E39" s="3"/>
      <c r="F39" s="13"/>
      <c r="G39" s="3"/>
      <c r="H39" s="3"/>
      <c r="I39" s="3"/>
      <c r="J39" s="3"/>
      <c r="K39" s="3"/>
      <c r="L39" s="3"/>
    </row>
    <row r="40" spans="1:12">
      <c r="B40" s="4"/>
      <c r="C40" s="3"/>
      <c r="D40" s="3"/>
      <c r="E40" s="3"/>
      <c r="F40" s="13"/>
      <c r="G40" s="3"/>
      <c r="H40" s="3"/>
      <c r="I40" s="3"/>
      <c r="J40" s="3"/>
      <c r="K40" s="3"/>
      <c r="L40" s="3"/>
    </row>
    <row r="41" spans="1:12">
      <c r="B41" s="4"/>
      <c r="C41" s="3"/>
      <c r="D41" s="3"/>
      <c r="E41" s="3"/>
      <c r="F41" s="13"/>
      <c r="G41" s="3"/>
      <c r="H41" s="3"/>
      <c r="I41" s="3"/>
      <c r="J41" s="3"/>
      <c r="K41" s="3"/>
      <c r="L41" s="3"/>
    </row>
    <row r="42" spans="1:12">
      <c r="B42" s="4"/>
      <c r="C42" s="3"/>
      <c r="D42" s="3"/>
      <c r="E42" s="3"/>
      <c r="F42" s="13"/>
      <c r="G42" s="3"/>
      <c r="H42" s="3"/>
      <c r="I42" s="3"/>
      <c r="J42" s="3"/>
      <c r="K42" s="3"/>
      <c r="L42" s="3"/>
    </row>
    <row r="43" spans="1:12">
      <c r="B43" s="4"/>
      <c r="C43" s="3"/>
      <c r="D43" s="3"/>
      <c r="E43" s="3"/>
      <c r="F43" s="13"/>
      <c r="G43" s="3"/>
      <c r="H43" s="3"/>
      <c r="I43" s="3"/>
      <c r="J43" s="3"/>
      <c r="K43" s="3"/>
      <c r="L43" s="3"/>
    </row>
    <row r="44" spans="1:12">
      <c r="B44" s="4"/>
      <c r="C44" s="3"/>
      <c r="D44" s="3"/>
      <c r="E44" s="3"/>
      <c r="F44" s="13"/>
      <c r="G44" s="3"/>
      <c r="H44" s="3"/>
      <c r="I44" s="3"/>
      <c r="J44" s="3"/>
      <c r="K44" s="3"/>
      <c r="L44" s="3"/>
    </row>
    <row r="45" spans="1:12">
      <c r="B45" s="4"/>
      <c r="C45" s="3"/>
      <c r="D45" s="3"/>
      <c r="E45" s="3"/>
      <c r="F45" s="13"/>
      <c r="G45" s="3"/>
      <c r="H45" s="3"/>
      <c r="I45" s="3"/>
      <c r="J45" s="3"/>
      <c r="K45" s="3"/>
      <c r="L45" s="3"/>
    </row>
    <row r="46" spans="1:12">
      <c r="B46" s="4"/>
      <c r="C46" s="3"/>
      <c r="D46" s="3"/>
      <c r="E46" s="3"/>
      <c r="F46" s="13"/>
      <c r="G46" s="3"/>
      <c r="H46" s="3"/>
      <c r="I46" s="3"/>
      <c r="J46" s="3"/>
      <c r="K46" s="3"/>
      <c r="L46" s="3"/>
    </row>
    <row r="47" spans="1:12">
      <c r="B47" s="4"/>
      <c r="C47" s="3"/>
      <c r="D47" s="3"/>
      <c r="E47" s="3"/>
      <c r="F47" s="13"/>
      <c r="G47" s="3"/>
      <c r="H47" s="3"/>
      <c r="I47" s="3"/>
      <c r="J47" s="3"/>
      <c r="K47" s="3"/>
      <c r="L47" s="3"/>
    </row>
    <row r="48" spans="1:12">
      <c r="B48" s="4"/>
      <c r="C48" s="3"/>
      <c r="D48" s="3"/>
      <c r="E48" s="3"/>
      <c r="F48" s="13"/>
      <c r="G48" s="3"/>
      <c r="H48" s="3"/>
      <c r="I48" s="3"/>
      <c r="J48" s="3"/>
      <c r="K48" s="3"/>
      <c r="L48" s="3"/>
    </row>
    <row r="49" spans="2:12">
      <c r="B49" s="4"/>
      <c r="C49" s="3"/>
      <c r="D49" s="3"/>
      <c r="E49" s="3"/>
      <c r="F49" s="13"/>
      <c r="G49" s="3"/>
      <c r="H49" s="3"/>
      <c r="I49" s="3"/>
      <c r="J49" s="3"/>
      <c r="K49" s="3"/>
      <c r="L49" s="3"/>
    </row>
    <row r="50" spans="2:12">
      <c r="B50" s="4"/>
      <c r="C50" s="3"/>
      <c r="D50" s="3"/>
      <c r="E50" s="3"/>
      <c r="F50" s="13"/>
      <c r="G50" s="3"/>
      <c r="H50" s="3"/>
      <c r="I50" s="3"/>
      <c r="J50" s="3"/>
      <c r="K50" s="3"/>
      <c r="L50" s="3"/>
    </row>
    <row r="51" spans="2:12">
      <c r="B51" s="4"/>
      <c r="C51" s="3"/>
      <c r="D51" s="3"/>
      <c r="E51" s="3"/>
      <c r="F51" s="13"/>
      <c r="G51" s="3"/>
      <c r="H51" s="3"/>
      <c r="I51" s="3"/>
      <c r="J51" s="3"/>
      <c r="K51" s="3"/>
      <c r="L51" s="3"/>
    </row>
    <row r="52" spans="2:12">
      <c r="B52" s="4"/>
      <c r="C52" s="3"/>
      <c r="D52" s="3"/>
      <c r="E52" s="3"/>
      <c r="F52" s="13"/>
      <c r="G52" s="3"/>
      <c r="H52" s="3"/>
      <c r="I52" s="3"/>
      <c r="J52" s="3"/>
      <c r="K52" s="3"/>
      <c r="L52" s="3"/>
    </row>
  </sheetData>
  <mergeCells count="2">
    <mergeCell ref="B1:C1"/>
    <mergeCell ref="F1:G1"/>
  </mergeCells>
  <phoneticPr fontId="5"/>
  <dataValidations count="1">
    <dataValidation type="whole" allowBlank="1" showInputMessage="1" showErrorMessage="1" sqref="B3:B52 F24:F29 F4:F22" xr:uid="{00000000-0002-0000-0100-000000000000}">
      <formula1>0</formula1>
      <formula2>9999999999</formula2>
    </dataValidation>
  </dataValidations>
  <pageMargins left="0.67" right="0.16" top="0.75" bottom="0.75" header="0.3" footer="0.3"/>
  <pageSetup paperSize="9" scale="6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BFD4-9878-C74A-A90F-BEBF3291F4DC}">
  <sheetPr>
    <tabColor theme="7"/>
    <pageSetUpPr fitToPage="1"/>
  </sheetPr>
  <dimension ref="B1:M44"/>
  <sheetViews>
    <sheetView tabSelected="1" topLeftCell="A26" zoomScaleNormal="100" workbookViewId="0">
      <selection activeCell="K19" sqref="K19"/>
    </sheetView>
  </sheetViews>
  <sheetFormatPr defaultColWidth="8.796875" defaultRowHeight="18"/>
  <cols>
    <col min="1" max="1" width="8.19921875" customWidth="1"/>
    <col min="2" max="2" width="4.296875" customWidth="1"/>
    <col min="3" max="3" width="8.5" customWidth="1"/>
    <col min="4" max="4" width="17.19921875" customWidth="1"/>
    <col min="5" max="5" width="13.69921875" customWidth="1"/>
    <col min="6" max="6" width="17.19921875" customWidth="1"/>
    <col min="7" max="7" width="13.69921875" customWidth="1"/>
    <col min="8" max="8" width="17.09765625" customWidth="1"/>
    <col min="9" max="9" width="6.5" customWidth="1"/>
    <col min="10" max="10" width="6.69921875" customWidth="1"/>
    <col min="11" max="11" width="11.19921875" customWidth="1"/>
    <col min="12" max="12" width="6.69921875" customWidth="1"/>
    <col min="13" max="13" width="15.796875" customWidth="1"/>
    <col min="14" max="14" width="17.69921875" customWidth="1"/>
    <col min="15" max="15" width="18.19921875" customWidth="1"/>
  </cols>
  <sheetData>
    <row r="1" spans="2:13">
      <c r="I1" s="5"/>
    </row>
    <row r="2" spans="2:13" ht="22.2">
      <c r="B2" s="1"/>
      <c r="G2" s="56"/>
      <c r="H2" s="57"/>
      <c r="I2" s="83"/>
      <c r="J2" s="83"/>
    </row>
    <row r="3" spans="2:13" ht="24" customHeight="1">
      <c r="B3" s="47"/>
      <c r="C3" s="47"/>
      <c r="D3" s="47"/>
      <c r="E3" s="47"/>
      <c r="G3" s="56"/>
      <c r="H3" s="57"/>
      <c r="I3" s="57"/>
    </row>
    <row r="4" spans="2:13" ht="18.75" customHeight="1">
      <c r="B4" s="47"/>
      <c r="C4" s="47"/>
      <c r="D4" s="47"/>
      <c r="E4" s="47"/>
    </row>
    <row r="5" spans="2:13" ht="22.2">
      <c r="B5" s="12"/>
      <c r="C5" s="12"/>
      <c r="D5" s="12"/>
    </row>
    <row r="6" spans="2:13" ht="41.4">
      <c r="B6" s="84"/>
      <c r="C6" s="84"/>
      <c r="D6" s="84"/>
      <c r="E6" s="1"/>
      <c r="F6" s="55" t="s">
        <v>94</v>
      </c>
    </row>
    <row r="7" spans="2:13" ht="22.2">
      <c r="B7" s="1" t="s">
        <v>15</v>
      </c>
      <c r="C7" s="7"/>
      <c r="D7" s="8">
        <f>受給者情報!B3</f>
        <v>2000006458</v>
      </c>
      <c r="E7" s="8"/>
    </row>
    <row r="8" spans="2:13" ht="22.2">
      <c r="B8" s="7" t="s">
        <v>16</v>
      </c>
      <c r="C8" s="7"/>
      <c r="D8" s="7" t="str">
        <f>受給者情報!C3</f>
        <v>岡田英樹</v>
      </c>
      <c r="E8" t="s">
        <v>29</v>
      </c>
    </row>
    <row r="12" spans="2:13" ht="28.8">
      <c r="E12" s="27" t="s">
        <v>17</v>
      </c>
      <c r="F12" s="27"/>
      <c r="G12" s="27"/>
    </row>
    <row r="13" spans="2:13" ht="22.2">
      <c r="I13" s="9"/>
      <c r="M13" s="16"/>
    </row>
    <row r="14" spans="2:13">
      <c r="M14" s="16"/>
    </row>
    <row r="15" spans="2:13" ht="34.799999999999997" customHeight="1">
      <c r="G15" s="71" t="s">
        <v>18</v>
      </c>
      <c r="H15" s="86" t="s">
        <v>120</v>
      </c>
      <c r="I15" s="24"/>
      <c r="M15" s="16"/>
    </row>
    <row r="16" spans="2:13" ht="32.4" customHeight="1">
      <c r="D16" s="55"/>
      <c r="G16" s="25"/>
      <c r="H16" s="87" t="s">
        <v>19</v>
      </c>
      <c r="I16" s="87"/>
      <c r="J16" s="87"/>
      <c r="M16" s="16"/>
    </row>
    <row r="17" spans="2:13">
      <c r="G17" s="26" t="s">
        <v>20</v>
      </c>
      <c r="H17" s="26" t="str">
        <f>事業者情報!C5&amp;"　"&amp;事業者情報!C6</f>
        <v>代表取締役社長　澤田昌志</v>
      </c>
      <c r="M17" s="16"/>
    </row>
    <row r="18" spans="2:13">
      <c r="G18" s="26" t="s">
        <v>21</v>
      </c>
      <c r="H18" s="26" t="str">
        <f>事業者情報!C7&amp;""</f>
        <v>0566-63-6817</v>
      </c>
      <c r="M18" s="16"/>
    </row>
    <row r="19" spans="2:13">
      <c r="G19" s="26" t="s">
        <v>22</v>
      </c>
      <c r="H19" s="26" t="str">
        <f>事業者情報!C8&amp;""</f>
        <v>0566-63-6818</v>
      </c>
      <c r="M19" s="16"/>
    </row>
    <row r="20" spans="2:13">
      <c r="M20" s="16"/>
    </row>
    <row r="21" spans="2:13" ht="24" customHeight="1">
      <c r="B21" s="85" t="s">
        <v>93</v>
      </c>
      <c r="C21" s="85"/>
      <c r="D21" s="85"/>
      <c r="E21" s="85"/>
      <c r="F21" s="85"/>
      <c r="G21" s="85"/>
      <c r="H21" s="85"/>
      <c r="I21" s="85"/>
      <c r="M21" s="16"/>
    </row>
    <row r="22" spans="2:13" ht="24" customHeight="1">
      <c r="B22" s="85"/>
      <c r="C22" s="85"/>
      <c r="D22" s="85"/>
      <c r="E22" s="85"/>
      <c r="F22" s="85"/>
      <c r="G22" s="85"/>
      <c r="H22" s="85"/>
      <c r="I22" s="85"/>
      <c r="M22" s="16"/>
    </row>
    <row r="24" spans="2:13" ht="26.4">
      <c r="C24" s="61">
        <v>9</v>
      </c>
      <c r="D24" s="61" t="s">
        <v>119</v>
      </c>
      <c r="E24" s="43" t="s">
        <v>23</v>
      </c>
      <c r="F24" s="44">
        <f>H33</f>
        <v>314460</v>
      </c>
      <c r="G24" s="10" t="s">
        <v>24</v>
      </c>
    </row>
    <row r="26" spans="2:13" ht="24.75" customHeight="1">
      <c r="B26" s="30"/>
      <c r="C26" s="31"/>
      <c r="D26" s="37" t="s">
        <v>30</v>
      </c>
      <c r="E26" s="76" t="s">
        <v>104</v>
      </c>
      <c r="F26" s="77"/>
      <c r="G26" s="77"/>
      <c r="H26" s="78"/>
      <c r="I26" s="7"/>
    </row>
    <row r="27" spans="2:13" ht="24.75" customHeight="1">
      <c r="B27" s="30"/>
      <c r="C27" s="31"/>
      <c r="D27" s="54" t="s">
        <v>95</v>
      </c>
      <c r="E27" s="80" t="s">
        <v>96</v>
      </c>
      <c r="F27" s="81"/>
      <c r="G27" s="81"/>
      <c r="H27" s="82"/>
      <c r="I27" s="7"/>
    </row>
    <row r="28" spans="2:13" ht="24.75" customHeight="1">
      <c r="B28" s="32"/>
      <c r="C28" s="31"/>
      <c r="D28" s="34" t="s">
        <v>31</v>
      </c>
      <c r="E28" s="79">
        <v>45981</v>
      </c>
      <c r="F28" s="77"/>
      <c r="G28" s="77"/>
      <c r="H28" s="78"/>
      <c r="I28" s="28"/>
    </row>
    <row r="29" spans="2:13" ht="24.75" customHeight="1">
      <c r="B29" s="32"/>
      <c r="C29" s="31"/>
      <c r="D29" s="38" t="s">
        <v>32</v>
      </c>
      <c r="E29" s="60"/>
      <c r="F29" s="40"/>
      <c r="G29" s="23"/>
      <c r="H29" s="67">
        <v>304460</v>
      </c>
      <c r="I29" s="45" t="s">
        <v>33</v>
      </c>
    </row>
    <row r="30" spans="2:13" ht="24.75" customHeight="1">
      <c r="B30" s="32"/>
      <c r="C30" s="31"/>
      <c r="D30" s="35" t="s">
        <v>34</v>
      </c>
      <c r="E30" s="41" t="s">
        <v>25</v>
      </c>
      <c r="F30" s="40"/>
      <c r="G30" s="23"/>
      <c r="H30" s="64">
        <f>H29</f>
        <v>304460</v>
      </c>
      <c r="I30" s="46" t="s">
        <v>28</v>
      </c>
    </row>
    <row r="31" spans="2:13" ht="24.75" customHeight="1">
      <c r="B31" s="32"/>
      <c r="C31" s="31"/>
      <c r="D31" s="35"/>
      <c r="E31" s="41" t="s">
        <v>26</v>
      </c>
      <c r="F31" s="40"/>
      <c r="G31" s="23"/>
      <c r="H31" s="65">
        <v>0</v>
      </c>
      <c r="I31" s="46" t="s">
        <v>28</v>
      </c>
    </row>
    <row r="32" spans="2:13" ht="24.75" customHeight="1">
      <c r="B32" s="32"/>
      <c r="C32" s="31"/>
      <c r="D32" s="35"/>
      <c r="E32" s="39" t="s">
        <v>27</v>
      </c>
      <c r="F32" s="42"/>
      <c r="G32" s="22"/>
      <c r="H32" s="66">
        <v>10000</v>
      </c>
      <c r="I32" s="46" t="s">
        <v>28</v>
      </c>
    </row>
    <row r="33" spans="2:10" ht="22.2">
      <c r="B33" s="32"/>
      <c r="C33" s="31"/>
      <c r="D33" s="21"/>
      <c r="E33" s="17"/>
      <c r="F33" s="17"/>
      <c r="G33" s="36" t="s">
        <v>35</v>
      </c>
      <c r="H33" s="59">
        <f>SUM(H30-H31+H32)</f>
        <v>314460</v>
      </c>
      <c r="I33" s="46" t="s">
        <v>28</v>
      </c>
    </row>
    <row r="34" spans="2:10" ht="22.2">
      <c r="B34" s="32"/>
      <c r="C34" s="31"/>
      <c r="D34" s="7"/>
      <c r="E34" s="7"/>
      <c r="F34" s="7"/>
      <c r="G34" s="7"/>
      <c r="H34" s="68"/>
      <c r="I34" s="28"/>
    </row>
    <row r="35" spans="2:10" ht="22.2">
      <c r="B35" s="32"/>
      <c r="C35" s="31"/>
      <c r="D35" s="7"/>
      <c r="E35" s="7"/>
      <c r="F35" s="7"/>
      <c r="G35" s="7"/>
      <c r="H35" s="7"/>
      <c r="I35" s="7"/>
    </row>
    <row r="36" spans="2:10" ht="22.2">
      <c r="B36" s="32"/>
      <c r="C36" s="31"/>
      <c r="D36" s="7"/>
      <c r="E36" s="7"/>
      <c r="F36" s="7"/>
      <c r="G36" s="7"/>
      <c r="H36" s="7"/>
      <c r="I36" s="7"/>
    </row>
    <row r="37" spans="2:10" ht="22.2">
      <c r="B37" s="32"/>
      <c r="C37" s="31"/>
      <c r="D37" s="7"/>
      <c r="E37" s="7"/>
      <c r="F37" s="7"/>
      <c r="G37" s="7"/>
      <c r="H37" s="7"/>
      <c r="I37" s="29"/>
    </row>
    <row r="38" spans="2:10" s="6" customFormat="1" ht="20.25" customHeight="1">
      <c r="B38" s="32"/>
      <c r="C38" s="33"/>
      <c r="D38" s="7"/>
      <c r="E38" s="7"/>
      <c r="F38" s="7"/>
      <c r="G38" s="7"/>
      <c r="H38" s="7"/>
      <c r="I38" s="7"/>
      <c r="J38" s="11"/>
    </row>
    <row r="39" spans="2:10" s="6" customFormat="1" ht="20.25" customHeight="1">
      <c r="B39" s="32"/>
      <c r="C39" s="33"/>
      <c r="D39" s="7"/>
      <c r="E39" s="7"/>
      <c r="F39" s="7"/>
      <c r="G39" s="7"/>
      <c r="H39" s="7"/>
      <c r="I39" s="7"/>
    </row>
    <row r="40" spans="2:10" s="6" customFormat="1" ht="20.25" customHeight="1">
      <c r="B40" s="32"/>
      <c r="C40" s="33"/>
      <c r="D40" s="7"/>
      <c r="E40" s="7"/>
      <c r="F40" s="7"/>
      <c r="G40" s="7"/>
      <c r="H40" s="7"/>
      <c r="I40" s="7"/>
    </row>
    <row r="41" spans="2:10" s="6" customFormat="1" ht="20.25" customHeight="1">
      <c r="B41" s="32"/>
      <c r="C41" s="33"/>
      <c r="D41" s="7"/>
      <c r="E41" s="7"/>
      <c r="F41" s="7"/>
      <c r="G41" s="7"/>
      <c r="H41" s="7"/>
      <c r="I41" s="7"/>
    </row>
    <row r="42" spans="2:10" ht="22.2">
      <c r="B42" s="1"/>
      <c r="C42" s="1"/>
      <c r="D42" s="1"/>
      <c r="E42" s="1"/>
      <c r="F42" s="1"/>
      <c r="G42" s="7"/>
      <c r="H42" s="1"/>
      <c r="I42" s="7"/>
    </row>
    <row r="43" spans="2:10" ht="22.2">
      <c r="B43" s="7"/>
      <c r="C43" s="7"/>
      <c r="D43" s="7"/>
      <c r="E43" s="7"/>
      <c r="F43" s="7"/>
      <c r="G43" s="7"/>
      <c r="H43" s="7"/>
      <c r="I43" s="20"/>
    </row>
    <row r="44" spans="2:10" ht="22.2">
      <c r="B44" s="7"/>
      <c r="C44" s="7"/>
      <c r="D44" s="7"/>
      <c r="E44" s="7"/>
      <c r="F44" s="18"/>
      <c r="G44" s="18"/>
      <c r="H44" s="19"/>
      <c r="I44" s="18"/>
    </row>
  </sheetData>
  <mergeCells count="6">
    <mergeCell ref="E26:H26"/>
    <mergeCell ref="E28:H28"/>
    <mergeCell ref="E27:H27"/>
    <mergeCell ref="I2:J2"/>
    <mergeCell ref="B6:D6"/>
    <mergeCell ref="B21:I22"/>
  </mergeCells>
  <phoneticPr fontId="5"/>
  <dataValidations count="1">
    <dataValidation allowBlank="1" showInputMessage="1" showErrorMessage="1" sqref="H2" xr:uid="{4C52C73B-03C4-6A47-8632-2A9538F84496}"/>
  </dataValidations>
  <pageMargins left="0.7" right="0.7" top="0.75" bottom="0.75" header="0.3" footer="0.3"/>
  <pageSetup paperSize="9" scale="71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9a0e88-f617-4302-aa21-5874cd3a9ef1">
      <Terms xmlns="http://schemas.microsoft.com/office/infopath/2007/PartnerControls"/>
    </lcf76f155ced4ddcb4097134ff3c332f>
    <TaxCatchAll xmlns="2f9469e1-bf9b-4902-bebb-3ecd2defd9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214673D67B12B4B862162A02C3C25B1" ma:contentTypeVersion="14" ma:contentTypeDescription="新しいドキュメントを作成します。" ma:contentTypeScope="" ma:versionID="fe715bc4dfe4e46beef9db122f2c7b81">
  <xsd:schema xmlns:xsd="http://www.w3.org/2001/XMLSchema" xmlns:xs="http://www.w3.org/2001/XMLSchema" xmlns:p="http://schemas.microsoft.com/office/2006/metadata/properties" xmlns:ns2="f59a0e88-f617-4302-aa21-5874cd3a9ef1" xmlns:ns3="2f9469e1-bf9b-4902-bebb-3ecd2defd956" targetNamespace="http://schemas.microsoft.com/office/2006/metadata/properties" ma:root="true" ma:fieldsID="cc915b143484529d7f4a5f5942dcce1f" ns2:_="" ns3:_="">
    <xsd:import namespace="f59a0e88-f617-4302-aa21-5874cd3a9ef1"/>
    <xsd:import namespace="2f9469e1-bf9b-4902-bebb-3ecd2defd9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a0e88-f617-4302-aa21-5874cd3a9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3a98b7f1-1c23-4050-b2b0-6a3b382e38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469e1-bf9b-4902-bebb-3ecd2defd95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1ad6d95-963a-4d56-abbd-bd74ed0c0bde}" ma:internalName="TaxCatchAll" ma:showField="CatchAllData" ma:web="2f9469e1-bf9b-4902-bebb-3ecd2defd9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8C526B-6C89-49ED-A294-4B54B76979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C9CF78-AD34-4963-BD15-C8D054FABEBF}">
  <ds:schemaRefs>
    <ds:schemaRef ds:uri="http://schemas.microsoft.com/office/2006/metadata/properties"/>
    <ds:schemaRef ds:uri="http://schemas.microsoft.com/office/infopath/2007/PartnerControls"/>
    <ds:schemaRef ds:uri="f59a0e88-f617-4302-aa21-5874cd3a9ef1"/>
    <ds:schemaRef ds:uri="2f9469e1-bf9b-4902-bebb-3ecd2defd956"/>
  </ds:schemaRefs>
</ds:datastoreItem>
</file>

<file path=customXml/itemProps3.xml><?xml version="1.0" encoding="utf-8"?>
<ds:datastoreItem xmlns:ds="http://schemas.openxmlformats.org/officeDocument/2006/customXml" ds:itemID="{E9D5FD85-7A0C-48DD-85FE-B89BC249D8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9a0e88-f617-4302-aa21-5874cd3a9ef1"/>
    <ds:schemaRef ds:uri="2f9469e1-bf9b-4902-bebb-3ecd2defd9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事業者情報</vt:lpstr>
      <vt:lpstr>受給者情報</vt:lpstr>
      <vt:lpstr>原本</vt:lpstr>
      <vt:lpstr>原本!Print_Area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崎久保 秀一</cp:lastModifiedBy>
  <cp:revision/>
  <cp:lastPrinted>2026-02-19T08:48:36Z</cp:lastPrinted>
  <dcterms:created xsi:type="dcterms:W3CDTF">2023-01-13T04:49:15Z</dcterms:created>
  <dcterms:modified xsi:type="dcterms:W3CDTF">2026-02-24T08:58:52Z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0x0101002214673D67B12B4B862162A02C3C25B1</vt:lpwstr>
  </property>
  <property fmtid="{D5CDD505-2E9C-101B-9397-08002B2CF9AE}" pid="3" name="MediaServiceImageTags">
    <vt:lpwstr/>
  </property>
</Properties>
</file>