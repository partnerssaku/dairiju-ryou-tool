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740" yWindow="3216" windowWidth="17280" windowHeight="9960" tabRatio="600" firstSheet="0" activeTab="2" autoFilterDateGrouping="1"/>
  </bookViews>
  <sheets>
    <sheet xmlns:r="http://schemas.openxmlformats.org/officeDocument/2006/relationships" name="ｱﾏﾉﾏｻｼ" sheetId="1" state="visible" r:id="rId1"/>
    <sheet xmlns:r="http://schemas.openxmlformats.org/officeDocument/2006/relationships" name="ｱﾏﾉﾏｻｼ1" sheetId="2" state="visible" r:id="rId2"/>
    <sheet xmlns:r="http://schemas.openxmlformats.org/officeDocument/2006/relationships" name="ｻｶｷﾊﾞﾗﾊﾔﾄ" sheetId="3" state="visible" r:id="rId3"/>
    <sheet xmlns:r="http://schemas.openxmlformats.org/officeDocument/2006/relationships" name="斉藤　吟" sheetId="4" state="visible" r:id="rId4"/>
    <sheet xmlns:r="http://schemas.openxmlformats.org/officeDocument/2006/relationships" name="ｻｶｷﾊﾞﾗﾊﾔﾄ1" sheetId="5" state="visible" r:id="rId5"/>
    <sheet xmlns:r="http://schemas.openxmlformats.org/officeDocument/2006/relationships" name="斉藤　吟1" sheetId="6" state="visible" r:id="rId6"/>
    <sheet xmlns:r="http://schemas.openxmlformats.org/officeDocument/2006/relationships" name="加藤　則子" sheetId="7" state="visible" r:id="rId7"/>
    <sheet xmlns:r="http://schemas.openxmlformats.org/officeDocument/2006/relationships" name="西濱泰斗" sheetId="8" state="visible" r:id="rId8"/>
    <sheet xmlns:r="http://schemas.openxmlformats.org/officeDocument/2006/relationships" name="福田　奈央　" sheetId="9" state="visible" r:id="rId9"/>
    <sheet xmlns:r="http://schemas.openxmlformats.org/officeDocument/2006/relationships" name="古池　陸" sheetId="10" state="visible" r:id="rId10"/>
    <sheet xmlns:r="http://schemas.openxmlformats.org/officeDocument/2006/relationships" name="葛原　千草" sheetId="11" state="visible" r:id="rId11"/>
    <sheet xmlns:r="http://schemas.openxmlformats.org/officeDocument/2006/relationships" name="磯村英男" sheetId="12" state="visible" r:id="rId12"/>
    <sheet xmlns:r="http://schemas.openxmlformats.org/officeDocument/2006/relationships" name="加藤　則子1" sheetId="13" state="visible" r:id="rId13"/>
    <sheet xmlns:r="http://schemas.openxmlformats.org/officeDocument/2006/relationships" name="蟹江くるみ" sheetId="14" state="visible" r:id="rId14"/>
    <sheet xmlns:r="http://schemas.openxmlformats.org/officeDocument/2006/relationships" name="西濱泰斗1" sheetId="15" state="visible" r:id="rId15"/>
    <sheet xmlns:r="http://schemas.openxmlformats.org/officeDocument/2006/relationships" name="福田　奈央　1" sheetId="16" state="visible" r:id="rId16"/>
    <sheet xmlns:r="http://schemas.openxmlformats.org/officeDocument/2006/relationships" name="古池　陸1" sheetId="17" state="visible" r:id="rId17"/>
    <sheet xmlns:r="http://schemas.openxmlformats.org/officeDocument/2006/relationships" name="葛原　千草1" sheetId="18" state="visible" r:id="rId18"/>
    <sheet xmlns:r="http://schemas.openxmlformats.org/officeDocument/2006/relationships" name="篠田　周平" sheetId="19" state="visible" r:id="rId19"/>
    <sheet xmlns:r="http://schemas.openxmlformats.org/officeDocument/2006/relationships" name="岡田英樹" sheetId="20" state="visible" r:id="rId20"/>
    <sheet xmlns:r="http://schemas.openxmlformats.org/officeDocument/2006/relationships" name="芦澤　凛" sheetId="21" state="visible" r:id="rId21"/>
    <sheet xmlns:r="http://schemas.openxmlformats.org/officeDocument/2006/relationships" name="篠田　周平1" sheetId="22" state="visible" r:id="rId22"/>
    <sheet xmlns:r="http://schemas.openxmlformats.org/officeDocument/2006/relationships" name="岡田英樹1" sheetId="23" state="visible" r:id="rId23"/>
    <sheet xmlns:r="http://schemas.openxmlformats.org/officeDocument/2006/relationships" name="西山希望" sheetId="24" state="visible" r:id="rId24"/>
    <sheet xmlns:r="http://schemas.openxmlformats.org/officeDocument/2006/relationships" name="芦澤　凛1" sheetId="25" state="visible" r:id="rId25"/>
    <sheet xmlns:r="http://schemas.openxmlformats.org/officeDocument/2006/relationships" name="筒井　奈都美" sheetId="26" state="visible" r:id="rId26"/>
    <sheet xmlns:r="http://schemas.openxmlformats.org/officeDocument/2006/relationships" name="筒井　奈都美1" sheetId="27" state="visible" r:id="rId27"/>
    <sheet xmlns:r="http://schemas.openxmlformats.org/officeDocument/2006/relationships" name="東原　尚輝" sheetId="28" state="visible" r:id="rId28"/>
    <sheet xmlns:r="http://schemas.openxmlformats.org/officeDocument/2006/relationships" name="二方　萌衣" sheetId="29" state="visible" r:id="rId29"/>
    <sheet xmlns:r="http://schemas.openxmlformats.org/officeDocument/2006/relationships" name="東原　尚輝1" sheetId="30" state="visible" r:id="rId30"/>
    <sheet xmlns:r="http://schemas.openxmlformats.org/officeDocument/2006/relationships" name="二方　萌衣1" sheetId="31" state="visible" r:id="rId31"/>
    <sheet xmlns:r="http://schemas.openxmlformats.org/officeDocument/2006/relationships" name="ﾑﾗｾｱｷﾋﾛ" sheetId="32" state="visible" r:id="rId32"/>
    <sheet xmlns:r="http://schemas.openxmlformats.org/officeDocument/2006/relationships" name="ﾑﾗｾｱｷﾋﾛ1" sheetId="33" state="visible" r:id="rId33"/>
    <sheet xmlns:r="http://schemas.openxmlformats.org/officeDocument/2006/relationships" name="森口　真紀子" sheetId="34" state="visible" r:id="rId34"/>
    <sheet xmlns:r="http://schemas.openxmlformats.org/officeDocument/2006/relationships" name="長尾　夏江" sheetId="35" state="visible" r:id="rId35"/>
    <sheet xmlns:r="http://schemas.openxmlformats.org/officeDocument/2006/relationships" name="森口　真紀子1" sheetId="36" state="visible" r:id="rId36"/>
    <sheet xmlns:r="http://schemas.openxmlformats.org/officeDocument/2006/relationships" name="長尾　夏江1" sheetId="37" state="visible" r:id="rId37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0000000000"/>
    <numFmt numFmtId="165" formatCode="[$-411]ggge&quot;年&quot;m&quot;月&quot;d&quot;日&quot;;@"/>
    <numFmt numFmtId="166" formatCode="[&lt;=999]000;[&lt;=9999]000\-00;000\-0000"/>
    <numFmt numFmtId="167" formatCode="0_);[Red]\(0\)"/>
  </numFmts>
  <fonts count="2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"/>
      <sz val="14"/>
      <scheme val="minor"/>
    </font>
    <font>
      <name val="游ゴシック"/>
      <charset val="128"/>
      <family val="3"/>
      <color theme="1"/>
      <sz val="14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2"/>
      <color theme="1"/>
      <sz val="16"/>
      <scheme val="minor"/>
    </font>
    <font>
      <name val="游ゴシック"/>
      <charset val="128"/>
      <family val="2"/>
      <color theme="1"/>
      <sz val="18"/>
      <scheme val="minor"/>
    </font>
    <font>
      <name val="游ゴシック"/>
      <charset val="128"/>
      <family val="3"/>
      <color theme="1"/>
      <sz val="16"/>
      <scheme val="minor"/>
    </font>
    <font>
      <name val="游ゴシック"/>
      <charset val="128"/>
      <family val="3"/>
      <color theme="1"/>
      <sz val="9"/>
      <scheme val="minor"/>
    </font>
    <font>
      <name val="游ゴシック Light"/>
      <family val="2"/>
      <color rgb="FF000000"/>
      <sz val="11"/>
      <scheme val="major"/>
    </font>
    <font>
      <name val="游ゴシック Light"/>
      <family val="2"/>
      <color theme="1"/>
      <sz val="14"/>
      <scheme val="major"/>
    </font>
    <font>
      <name val="游ゴシック"/>
      <charset val="128"/>
      <family val="3"/>
      <color theme="1"/>
      <sz val="11"/>
      <scheme val="minor"/>
    </font>
    <font>
      <name val="游ゴシック Light"/>
      <family val="2"/>
      <color rgb="FF000000"/>
      <sz val="12"/>
      <scheme val="major"/>
    </font>
    <font>
      <name val="游ゴシック Light"/>
      <family val="2"/>
      <color theme="1"/>
      <sz val="12"/>
      <scheme val="major"/>
    </font>
    <font>
      <name val="Yu Gothic"/>
      <charset val="128"/>
      <family val="3"/>
      <color theme="1"/>
      <sz val="11"/>
    </font>
    <font>
      <name val="游ゴシック"/>
      <charset val="128"/>
      <family val="3"/>
      <b val="1"/>
      <color rgb="FFFF0000"/>
      <sz val="26"/>
    </font>
    <font>
      <name val="Yu Gothic"/>
      <charset val="128"/>
      <family val="3"/>
      <color theme="1"/>
      <sz val="12"/>
    </font>
    <font>
      <name val="游ゴシック"/>
      <charset val="128"/>
      <family val="3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8" fillId="0" borderId="0" applyAlignment="1">
      <alignment vertical="center"/>
    </xf>
    <xf numFmtId="38" fontId="8" fillId="0" borderId="0" applyAlignment="1">
      <alignment vertical="center"/>
    </xf>
  </cellStyleXfs>
  <cellXfs count="97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166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left" vertical="center"/>
    </xf>
    <xf numFmtId="0" fontId="14" fillId="0" borderId="2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16" fillId="0" borderId="7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16" fillId="0" borderId="10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15" fillId="0" borderId="5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8" fontId="7" fillId="0" borderId="0" applyAlignment="1" pivotButton="0" quotePrefix="0" xfId="1">
      <alignment vertical="center"/>
    </xf>
    <xf numFmtId="38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textRotation="255" wrapText="1"/>
    </xf>
    <xf numFmtId="0" fontId="7" fillId="0" borderId="0" applyAlignment="1" pivotButton="0" quotePrefix="0" xfId="0">
      <alignment vertical="center" textRotation="255"/>
    </xf>
    <xf numFmtId="0" fontId="6" fillId="0" borderId="0" applyAlignment="1" pivotButton="0" quotePrefix="0" xfId="0">
      <alignment vertical="center" wrapText="1"/>
    </xf>
    <xf numFmtId="0" fontId="9" fillId="0" borderId="3" applyAlignment="1" pivotButton="0" quotePrefix="0" xfId="0">
      <alignment vertical="center"/>
    </xf>
    <xf numFmtId="0" fontId="18" fillId="0" borderId="6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8" fillId="0" borderId="14" applyAlignment="1" pivotButton="0" quotePrefix="0" xfId="0">
      <alignment vertical="center"/>
    </xf>
    <xf numFmtId="0" fontId="18" fillId="0" borderId="11" applyAlignment="1" pivotButton="0" quotePrefix="0" xfId="0">
      <alignment vertical="center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9" fillId="0" borderId="13" applyAlignment="1" pivotButton="0" quotePrefix="0" xfId="0">
      <alignment vertical="center"/>
    </xf>
    <xf numFmtId="0" fontId="11" fillId="2" borderId="0" applyAlignment="1" pivotButton="0" quotePrefix="0" xfId="0">
      <alignment horizontal="center" vertical="center"/>
    </xf>
    <xf numFmtId="38" fontId="13" fillId="2" borderId="0" applyAlignment="1" pivotButton="0" quotePrefix="0" xfId="1">
      <alignment vertical="center"/>
    </xf>
    <xf numFmtId="38" fontId="14" fillId="0" borderId="0" applyAlignment="1" pivotButton="0" quotePrefix="0" xfId="1">
      <alignment vertical="center"/>
    </xf>
    <xf numFmtId="0" fontId="14" fillId="0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vertical="center"/>
    </xf>
    <xf numFmtId="0" fontId="2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textRotation="91"/>
    </xf>
    <xf numFmtId="167" fontId="0" fillId="0" borderId="2" applyAlignment="1" pivotButton="0" quotePrefix="0" xfId="0">
      <alignment vertical="center"/>
    </xf>
    <xf numFmtId="38" fontId="10" fillId="0" borderId="10" applyAlignment="1" pivotButton="0" quotePrefix="0" xfId="1">
      <alignment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2" fillId="3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38" fontId="15" fillId="0" borderId="12" applyAlignment="1" pivotButton="0" quotePrefix="0" xfId="1">
      <alignment vertical="center"/>
    </xf>
    <xf numFmtId="38" fontId="15" fillId="0" borderId="5" applyAlignment="1" pivotButton="0" quotePrefix="0" xfId="1">
      <alignment vertical="center"/>
    </xf>
    <xf numFmtId="38" fontId="15" fillId="0" borderId="14" applyAlignment="1" pivotButton="0" quotePrefix="0" xfId="1">
      <alignment vertical="center"/>
    </xf>
    <xf numFmtId="38" fontId="15" fillId="0" borderId="8" applyAlignment="1" pivotButton="0" quotePrefix="0" xfId="1">
      <alignment vertical="center"/>
    </xf>
    <xf numFmtId="38" fontId="7" fillId="0" borderId="0" applyAlignment="1" pivotButton="0" quotePrefix="0" xfId="1">
      <alignment vertical="center"/>
    </xf>
    <xf numFmtId="58" fontId="0" fillId="0" borderId="0" applyAlignment="1" pivotButton="0" quotePrefix="0" xfId="0">
      <alignment vertical="center"/>
    </xf>
    <xf numFmtId="58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3" borderId="15" applyAlignment="1" pivotButton="0" quotePrefix="0" xfId="0">
      <alignment horizontal="center" vertical="center"/>
    </xf>
    <xf numFmtId="0" fontId="0" fillId="3" borderId="16" applyAlignment="1" pivotButton="0" quotePrefix="0" xfId="0">
      <alignment horizontal="center" vertical="center"/>
    </xf>
    <xf numFmtId="0" fontId="0" fillId="4" borderId="15" applyAlignment="1" pivotButton="0" quotePrefix="0" xfId="0">
      <alignment horizontal="center" vertical="center"/>
    </xf>
    <xf numFmtId="0" fontId="0" fillId="4" borderId="16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58" fontId="9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right" vertical="center"/>
    </xf>
    <xf numFmtId="0" fontId="2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2" pivotButton="0" quotePrefix="0" xfId="0"/>
    <xf numFmtId="0" fontId="4" fillId="0" borderId="14" applyAlignment="1" pivotButton="0" quotePrefix="0" xfId="0">
      <alignment horizontal="center" vertical="center"/>
    </xf>
    <xf numFmtId="58" fontId="9" fillId="0" borderId="14" applyAlignment="1" pivotButton="0" quotePrefix="0" xfId="0">
      <alignment horizontal="center" vertical="center"/>
    </xf>
  </cellXfs>
  <cellStyles count="2">
    <cellStyle name="標準" xfId="0" builtinId="0"/>
    <cellStyle name="桁区切り" xfId="1" builtinId="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438580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438580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438580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438580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0000122663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ｱﾏﾉﾏｻｼ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398238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398238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398238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398238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192315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192315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192315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192315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288377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288377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288377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288377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0000778563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ｻｶｷﾊﾞﾗﾊﾔﾄ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198721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198721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198721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198721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9018171323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斉藤　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239288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碧南市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239288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239288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239288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307462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307462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307462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307462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621432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621432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621432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621432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115506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128340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128340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12834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115506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359486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359486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359486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359486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266459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266459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266459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266459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3000000962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磯村英男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250756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250756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250756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250756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3000010052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加藤　則子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270356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270356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270356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270356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3000012348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蟹江くるみ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45292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45292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45292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2260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45292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3000012793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西濱泰斗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569508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569508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569508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569508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3000019079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 xml:space="preserve">福田　奈央　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103955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115505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115505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11550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103955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3000019590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古池　陸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335652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335652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335652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335652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3000021323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葛原　千草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228513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刈谷市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228513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228513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228513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1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254072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254072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254072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254072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304460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304460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304460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304460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247038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247038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247038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247038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2000004818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篠田　周平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173678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173678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173678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173678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2000006458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岡田英樹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272820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272820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272820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272820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2000009072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西山希望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35974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35974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35974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9100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35974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2000009338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芦澤　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216484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安城市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216484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216484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216484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6000001708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筒井　奈都美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417256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東海市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417256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417256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417256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8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432432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432432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432432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432432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29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484825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484825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484825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484825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0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2419519208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東原　尚輝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395259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395259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395259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395259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1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2420469211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二方　萌衣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431636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知多市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431636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431636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431636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2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429710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429710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429710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429710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3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0000001180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ﾑﾗｾｱｷﾋﾛ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391776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/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391776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391776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391776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4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279406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279406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279406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279406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5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9</v>
      </c>
      <c r="D25" t="inlineStr">
        <is>
          <t>月分サービス費</t>
        </is>
      </c>
      <c r="F25" t="n">
        <v>353516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353516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353516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353516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6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3000000236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森口　真紀子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240531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240531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240531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240531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xl/worksheets/sheet37.xml><?xml version="1.0" encoding="utf-8"?>
<worksheet xmlns="http://schemas.openxmlformats.org/spreadsheetml/2006/main">
  <sheetPr>
    <tabColor theme="7"/>
    <outlinePr summaryBelow="1" summaryRight="1"/>
    <pageSetUpPr fitToPage="1"/>
  </sheetPr>
  <dimension ref="B1:M44"/>
  <sheetViews>
    <sheetView workbookViewId="0">
      <selection activeCell="A1" sqref="A1"/>
    </sheetView>
  </sheetViews>
  <sheetFormatPr baseColWidth="8" defaultColWidth="8.796875" defaultRowHeight="18"/>
  <cols>
    <col width="8.19921875" customWidth="1" style="88" min="1" max="1"/>
    <col width="4.296875" customWidth="1" style="88" min="2" max="2"/>
    <col width="8.5" customWidth="1" style="88" min="3" max="3"/>
    <col width="17.19921875" customWidth="1" style="88" min="4" max="4"/>
    <col width="13.69921875" customWidth="1" style="88" min="5" max="5"/>
    <col width="17.19921875" customWidth="1" style="88" min="6" max="6"/>
    <col width="13.69921875" customWidth="1" style="88" min="7" max="7"/>
    <col width="17.09765625" customWidth="1" style="88" min="8" max="8"/>
    <col width="6.5" customWidth="1" style="88" min="9" max="9"/>
    <col width="6.69921875" customWidth="1" style="88" min="10" max="10"/>
    <col width="11.19921875" customWidth="1" style="88" min="11" max="11"/>
    <col width="6.69921875" customWidth="1" style="88" min="12" max="12"/>
    <col width="15.796875" customWidth="1" style="88" min="13" max="13"/>
    <col width="17.69921875" customWidth="1" style="88" min="14" max="14"/>
    <col width="18.19921875" customWidth="1" style="88" min="15" max="15"/>
  </cols>
  <sheetData>
    <row r="1">
      <c r="I1" s="89" t="n"/>
    </row>
    <row r="2" ht="22.2" customHeight="1" s="88">
      <c r="B2" s="1" t="n"/>
      <c r="G2" s="83" t="n"/>
      <c r="H2" s="57" t="n"/>
      <c r="I2" s="83" t="n"/>
    </row>
    <row r="3" ht="24" customHeight="1" s="88">
      <c r="B3" s="47" t="n"/>
      <c r="C3" s="47" t="n"/>
      <c r="D3" s="47" t="n"/>
      <c r="E3" s="47" t="n"/>
      <c r="G3" s="83" t="n"/>
      <c r="H3" s="57" t="n"/>
      <c r="I3" s="57" t="n"/>
    </row>
    <row r="4" ht="18.75" customHeight="1" s="88">
      <c r="B4" s="47" t="n"/>
      <c r="C4" s="47" t="n"/>
      <c r="D4" s="47" t="n"/>
      <c r="E4" s="47" t="n"/>
      <c r="H4" t="inlineStr">
        <is>
          <t>発行日: 2026年02月24日</t>
        </is>
      </c>
    </row>
    <row r="5" ht="22.2" customHeight="1" s="88">
      <c r="B5" s="12" t="n"/>
      <c r="C5" s="12" t="n"/>
      <c r="D5" s="12" t="n"/>
    </row>
    <row r="6" ht="41.4" customHeight="1" s="88">
      <c r="B6" s="84" t="n"/>
      <c r="E6" s="1" t="n"/>
      <c r="F6" s="55" t="inlineStr">
        <is>
          <t>請求書ではありません</t>
        </is>
      </c>
    </row>
    <row r="7" ht="22.2" customHeight="1" s="88">
      <c r="B7" s="1" t="inlineStr">
        <is>
          <t>受給者番号</t>
        </is>
      </c>
      <c r="C7" s="7" t="n"/>
      <c r="D7" s="90" t="inlineStr">
        <is>
          <t>3000004972</t>
        </is>
      </c>
      <c r="E7" s="90" t="n"/>
    </row>
    <row r="8" ht="22.2" customHeight="1" s="88">
      <c r="B8" s="7" t="inlineStr">
        <is>
          <t>利用者氏名</t>
        </is>
      </c>
      <c r="C8" s="7" t="n"/>
      <c r="D8" s="7" t="inlineStr">
        <is>
          <t>長尾　夏江</t>
        </is>
      </c>
      <c r="E8" s="0" t="inlineStr">
        <is>
          <t>様</t>
        </is>
      </c>
    </row>
    <row r="12" ht="28.8" customHeight="1" s="88">
      <c r="E12" s="27" t="inlineStr">
        <is>
          <t>代理受領額通知書</t>
        </is>
      </c>
      <c r="F12" s="27" t="n"/>
      <c r="G12" s="27" t="n"/>
    </row>
    <row r="13" ht="22.2" customHeight="1" s="88">
      <c r="I13" s="91" t="n"/>
      <c r="M13" s="16" t="n"/>
    </row>
    <row r="14">
      <c r="M14" s="16" t="n"/>
    </row>
    <row r="15" ht="34.8" customHeight="1" s="88">
      <c r="G15" s="71" t="inlineStr">
        <is>
          <t>事業者</t>
        </is>
      </c>
      <c r="H15" s="86" t="inlineStr">
        <is>
          <t>株式会社
TRINITY PARTNERS</t>
        </is>
      </c>
      <c r="I15" s="24" t="n"/>
      <c r="M15" s="16" t="n"/>
    </row>
    <row r="16" ht="32.4" customHeight="1" s="88">
      <c r="D16" s="55" t="n"/>
      <c r="G16" s="25" t="n"/>
      <c r="H16" s="87" t="inlineStr">
        <is>
          <t>HarerubaseKariya
グループホーム奏</t>
        </is>
      </c>
      <c r="I16" s="87" t="n"/>
      <c r="J16" s="87" t="n"/>
      <c r="M16" s="16" t="n"/>
    </row>
    <row r="17">
      <c r="G17" s="26" t="inlineStr">
        <is>
          <t>代表者</t>
        </is>
      </c>
      <c r="H17" s="26" t="inlineStr">
        <is>
          <t>代表取締役社長　澤田昌志</t>
        </is>
      </c>
      <c r="M17" s="16" t="n"/>
    </row>
    <row r="18">
      <c r="G18" s="26" t="inlineStr">
        <is>
          <t>電話</t>
        </is>
      </c>
      <c r="H18" s="26" t="inlineStr">
        <is>
          <t>0566-63-6817</t>
        </is>
      </c>
      <c r="M18" s="16" t="n"/>
    </row>
    <row r="19">
      <c r="G19" s="26" t="inlineStr">
        <is>
          <t>FAX</t>
        </is>
      </c>
      <c r="H19" s="26" t="inlineStr">
        <is>
          <t>0566-63-6818</t>
        </is>
      </c>
      <c r="M19" s="16" t="n"/>
    </row>
    <row r="20">
      <c r="M20" s="16" t="n"/>
    </row>
    <row r="21" ht="24" customHeight="1" s="88">
      <c r="B21" s="85" t="inlineStr">
        <is>
          <t>下記のとおり、契約書に基づき障害福祉サービス等に要した費用を代理受領しましたので、お知らせします。</t>
        </is>
      </c>
      <c r="M21" s="16" t="n"/>
    </row>
    <row r="22" ht="24" customHeight="1" s="88">
      <c r="M22" s="16" t="n"/>
    </row>
    <row r="24" ht="26.4" customHeight="1" s="88">
      <c r="C24" s="61" t="n">
        <v>9</v>
      </c>
      <c r="D24" s="61" t="inlineStr">
        <is>
          <t>月分サービス費</t>
        </is>
      </c>
      <c r="E24" s="43" t="inlineStr">
        <is>
          <t>￥</t>
        </is>
      </c>
      <c r="F24" s="44">
        <f>H33</f>
        <v/>
      </c>
      <c r="G24" s="10" t="inlineStr">
        <is>
          <t>（AーB＋C）</t>
        </is>
      </c>
    </row>
    <row r="25">
      <c r="C25" t="n">
        <v>1</v>
      </c>
      <c r="D25" t="inlineStr">
        <is>
          <t>月分サービス費</t>
        </is>
      </c>
      <c r="F25" t="n">
        <v>309097</v>
      </c>
    </row>
    <row r="26" ht="24.75" customHeight="1" s="88">
      <c r="B26" s="30" t="n"/>
      <c r="C26" s="31" t="n"/>
      <c r="D26" s="37" t="inlineStr">
        <is>
          <t>支給元市区町村</t>
        </is>
      </c>
      <c r="E26" s="92" t="inlineStr">
        <is>
          <t>東浦町</t>
        </is>
      </c>
      <c r="F26" s="93" t="n"/>
      <c r="G26" s="93" t="n"/>
      <c r="H26" s="94" t="n"/>
      <c r="I26" s="7" t="n"/>
    </row>
    <row r="27" ht="24.75" customHeight="1" s="88">
      <c r="B27" s="30" t="n"/>
      <c r="C27" s="31" t="n"/>
      <c r="D27" s="54" t="inlineStr">
        <is>
          <t>サービス種別</t>
        </is>
      </c>
      <c r="E27" s="95" t="inlineStr">
        <is>
          <t>就労継続支援Ｂ型</t>
        </is>
      </c>
      <c r="F27" s="93" t="n"/>
      <c r="G27" s="93" t="n"/>
      <c r="H27" s="94" t="n"/>
      <c r="I27" s="7" t="n"/>
    </row>
    <row r="28" ht="24.75" customHeight="1" s="88">
      <c r="B28" s="32" t="n"/>
      <c r="C28" s="31" t="n"/>
      <c r="D28" s="34" t="inlineStr">
        <is>
          <t>受給日</t>
        </is>
      </c>
      <c r="E28" s="96" t="n">
        <v>45981</v>
      </c>
      <c r="F28" s="93" t="n"/>
      <c r="G28" s="93" t="n"/>
      <c r="H28" s="94" t="n"/>
      <c r="I28" s="68" t="n"/>
    </row>
    <row r="29" ht="24.75" customHeight="1" s="88">
      <c r="B29" s="32" t="n"/>
      <c r="C29" s="31" t="n"/>
      <c r="D29" s="38" t="inlineStr">
        <is>
          <t>総支給額（単位）</t>
        </is>
      </c>
      <c r="E29" s="60" t="inlineStr"/>
      <c r="F29" s="40" t="n"/>
      <c r="G29" s="23" t="n"/>
      <c r="H29" s="67" t="n">
        <v>304460</v>
      </c>
      <c r="I29" s="45" t="inlineStr">
        <is>
          <t>単位</t>
        </is>
      </c>
    </row>
    <row r="30" ht="24.75" customHeight="1" s="88">
      <c r="B30" s="32" t="n"/>
      <c r="C30" s="31" t="n"/>
      <c r="D30" s="35" t="inlineStr">
        <is>
          <t>総支給額（円）</t>
        </is>
      </c>
      <c r="E30" s="41" t="inlineStr">
        <is>
          <t>総サービス費(A)</t>
        </is>
      </c>
      <c r="F30" s="40" t="n"/>
      <c r="G30" s="23" t="n"/>
      <c r="H30" s="64" t="n">
        <v>309097</v>
      </c>
      <c r="I30" s="46" t="inlineStr">
        <is>
          <t>円</t>
        </is>
      </c>
    </row>
    <row r="31" ht="24.75" customHeight="1" s="88">
      <c r="B31" s="32" t="n"/>
      <c r="C31" s="31" t="n"/>
      <c r="D31" s="35" t="n"/>
      <c r="E31" s="41" t="inlineStr">
        <is>
          <t>利用者負担額(B)</t>
        </is>
      </c>
      <c r="F31" s="40" t="n"/>
      <c r="G31" s="23" t="n"/>
      <c r="H31" s="65" t="n">
        <v>309097</v>
      </c>
      <c r="I31" s="46" t="inlineStr">
        <is>
          <t>円</t>
        </is>
      </c>
    </row>
    <row r="32" ht="24.75" customHeight="1" s="88">
      <c r="B32" s="32" t="n"/>
      <c r="C32" s="31" t="n"/>
      <c r="D32" s="35" t="n"/>
      <c r="E32" s="39" t="inlineStr">
        <is>
          <t>特定障害者給付費(C)</t>
        </is>
      </c>
      <c r="F32" s="42" t="n"/>
      <c r="G32" s="22" t="n"/>
      <c r="H32" s="66" t="n">
        <v>0</v>
      </c>
      <c r="I32" s="46" t="inlineStr">
        <is>
          <t>円</t>
        </is>
      </c>
    </row>
    <row r="33" ht="22.2" customHeight="1" s="88">
      <c r="B33" s="32" t="n"/>
      <c r="C33" s="31" t="n"/>
      <c r="D33" s="21" t="n"/>
      <c r="E33" s="17" t="n"/>
      <c r="F33" s="17" t="n"/>
      <c r="G33" s="36" t="inlineStr">
        <is>
          <t>合計</t>
        </is>
      </c>
      <c r="H33" s="59" t="n">
        <v>10000</v>
      </c>
      <c r="I33" s="46" t="inlineStr">
        <is>
          <t>円</t>
        </is>
      </c>
    </row>
    <row r="34" ht="22.2" customHeight="1" s="88">
      <c r="B34" s="32" t="n"/>
      <c r="C34" s="31" t="n"/>
      <c r="D34" s="7" t="n"/>
      <c r="E34" s="7" t="n"/>
      <c r="F34" s="7" t="n"/>
      <c r="G34" s="7" t="n"/>
      <c r="H34" s="68" t="n">
        <v>309097</v>
      </c>
      <c r="I34" s="68" t="n"/>
    </row>
    <row r="35" ht="22.2" customHeight="1" s="88">
      <c r="B35" s="32" t="n"/>
      <c r="C35" s="31" t="n"/>
      <c r="D35" s="7" t="n"/>
      <c r="E35" s="7" t="n"/>
      <c r="F35" s="7" t="n"/>
      <c r="G35" s="7" t="n"/>
      <c r="H35" s="7" t="n"/>
      <c r="I35" s="7" t="n"/>
    </row>
    <row r="36" ht="22.2" customHeight="1" s="88">
      <c r="B36" s="32" t="n"/>
      <c r="C36" s="31" t="n"/>
      <c r="D36" s="7" t="n"/>
      <c r="E36" s="7" t="n"/>
      <c r="F36" s="7" t="n"/>
      <c r="G36" s="7" t="n"/>
      <c r="H36" s="7" t="n"/>
      <c r="I36" s="7" t="n"/>
    </row>
    <row r="37" ht="22.2" customHeight="1" s="88">
      <c r="B37" s="32" t="n"/>
      <c r="C37" s="31" t="n"/>
      <c r="D37" s="7" t="n"/>
      <c r="E37" s="7" t="n"/>
      <c r="F37" s="7" t="n"/>
      <c r="G37" s="7" t="n"/>
      <c r="H37" s="7" t="n"/>
      <c r="I37" s="29" t="n"/>
    </row>
    <row r="38" ht="20.25" customFormat="1" customHeight="1" s="6">
      <c r="B38" s="32" t="n"/>
      <c r="C38" s="33" t="n"/>
      <c r="D38" s="7" t="n"/>
      <c r="E38" s="7" t="n"/>
      <c r="F38" s="7" t="n"/>
      <c r="G38" s="7" t="n"/>
      <c r="H38" s="7" t="n"/>
      <c r="I38" s="7" t="n"/>
      <c r="J38" s="11" t="n"/>
    </row>
    <row r="39" ht="20.25" customFormat="1" customHeight="1" s="6">
      <c r="B39" s="32" t="n"/>
      <c r="C39" s="33" t="n"/>
      <c r="D39" s="7" t="n"/>
      <c r="E39" s="7" t="n"/>
      <c r="F39" s="7" t="n"/>
      <c r="G39" s="7" t="n"/>
      <c r="H39" s="7" t="n"/>
      <c r="I39" s="7" t="n"/>
    </row>
    <row r="40" ht="20.25" customFormat="1" customHeight="1" s="6">
      <c r="B40" s="32" t="n"/>
      <c r="C40" s="33" t="n"/>
      <c r="D40" s="7" t="n"/>
      <c r="E40" s="7" t="n"/>
      <c r="F40" s="7" t="n"/>
      <c r="G40" s="7" t="n"/>
      <c r="H40" s="7" t="n"/>
      <c r="I40" s="7" t="n"/>
    </row>
    <row r="41" ht="20.25" customFormat="1" customHeight="1" s="6">
      <c r="B41" s="32" t="n"/>
      <c r="C41" s="33" t="n"/>
      <c r="D41" s="7" t="n"/>
      <c r="E41" s="7" t="n"/>
      <c r="F41" s="7" t="n"/>
      <c r="G41" s="7" t="n"/>
      <c r="H41" s="7" t="n"/>
      <c r="I41" s="7" t="n"/>
    </row>
    <row r="42" ht="22.2" customHeight="1" s="88">
      <c r="B42" s="1" t="n"/>
      <c r="C42" s="1" t="n"/>
      <c r="D42" s="1" t="n"/>
      <c r="E42" s="1" t="n"/>
      <c r="F42" s="1" t="n"/>
      <c r="G42" s="7" t="n"/>
      <c r="H42" s="1" t="n"/>
      <c r="I42" s="7" t="n"/>
    </row>
    <row r="43" ht="22.2" customHeight="1" s="88">
      <c r="B43" s="7" t="n"/>
      <c r="C43" s="7" t="n"/>
      <c r="D43" s="7" t="n"/>
      <c r="E43" s="7" t="n"/>
      <c r="F43" s="7" t="n"/>
      <c r="G43" s="7" t="n"/>
      <c r="H43" s="7" t="n"/>
      <c r="I43" s="20" t="n"/>
    </row>
    <row r="44" ht="22.2" customHeight="1" s="88">
      <c r="B44" s="7" t="n"/>
      <c r="C44" s="7" t="n"/>
      <c r="D44" s="7" t="n"/>
      <c r="E44" s="7" t="n"/>
      <c r="F44" s="68" t="n"/>
      <c r="G44" s="68" t="n"/>
      <c r="H44" s="19" t="n"/>
      <c r="I44" s="68" t="n"/>
    </row>
  </sheetData>
  <mergeCells count="6">
    <mergeCell ref="E26:H26"/>
    <mergeCell ref="E27:H27"/>
    <mergeCell ref="I2:J2"/>
    <mergeCell ref="B21:I22"/>
    <mergeCell ref="B6:D6"/>
    <mergeCell ref="E28:H28"/>
  </mergeCells>
  <pageMargins left="0.7" right="0.7" top="0.75" bottom="0.75" header="0.3" footer="0.3"/>
  <pageSetup orientation="portrait" paperSize="9" scale="7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2023-01-13T04:49:15Z</dcterms:created>
  <dcterms:modified xmlns:dcterms="http://purl.org/dc/terms/" xmlns:xsi="http://www.w3.org/2001/XMLSchema-instance" xsi:type="dcterms:W3CDTF">2026-02-24T09:38:29Z</dcterms:modified>
  <cp:lastModifiedBy>崎久保 秀一</cp:lastModifiedBy>
  <cp:lastPrinted>2026-02-19T08:48:36Z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0x0101002214673D67B12B4B862162A02C3C25B1</vt:lpwstr>
  </property>
  <property name="MediaServiceImageTags" fmtid="{D5CDD505-2E9C-101B-9397-08002B2CF9AE}" pid="3">
    <vt:lpwstr xmlns:vt="http://schemas.openxmlformats.org/officeDocument/2006/docPropsVTypes"/>
  </property>
</Properties>
</file>