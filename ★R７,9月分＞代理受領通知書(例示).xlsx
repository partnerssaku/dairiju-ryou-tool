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15"/>
  <workbookPr codeName="ThisWorkbook"/>
  <mc:AlternateContent xmlns:mc="http://schemas.openxmlformats.org/markup-compatibility/2006">
    <mc:Choice Requires="x15">
      <x15ac:absPath xmlns:x15ac="http://schemas.microsoft.com/office/spreadsheetml/2010/11/ac" url="/Users/aki/Downloads/代理受領通知書/"/>
    </mc:Choice>
  </mc:AlternateContent>
  <xr:revisionPtr revIDLastSave="0" documentId="13_ncr:1_{59CE9065-D649-D144-8371-82BABB0BC0B2}" xr6:coauthVersionLast="47" xr6:coauthVersionMax="47" xr10:uidLastSave="{00000000-0000-0000-0000-000000000000}"/>
  <bookViews>
    <workbookView xWindow="0" yWindow="500" windowWidth="28800" windowHeight="16300" firstSheet="29" activeTab="34" xr2:uid="{00000000-000D-0000-FFFF-FFFF00000000}"/>
  </bookViews>
  <sheets>
    <sheet name="事業者情報" sheetId="2" r:id="rId1"/>
    <sheet name="受給者情報" sheetId="6" r:id="rId2"/>
    <sheet name="岡田" sheetId="69" r:id="rId3"/>
    <sheet name="植山" sheetId="23" r:id="rId4"/>
    <sheet name="成田" sheetId="24" r:id="rId5"/>
    <sheet name="西濱" sheetId="25" r:id="rId6"/>
    <sheet name="榊原" sheetId="26" r:id="rId7"/>
    <sheet name="朝原" sheetId="27" r:id="rId8"/>
    <sheet name="西出" sheetId="28" r:id="rId9"/>
    <sheet name="村瀬" sheetId="29" r:id="rId10"/>
    <sheet name="天野" sheetId="30" r:id="rId11"/>
    <sheet name="東原" sheetId="31" r:id="rId12"/>
    <sheet name="篠田" sheetId="17" r:id="rId13"/>
    <sheet name="斉藤" sheetId="18" r:id="rId14"/>
    <sheet name="磯村" sheetId="19" r:id="rId15"/>
    <sheet name="古池" sheetId="20" r:id="rId16"/>
    <sheet name="芦澤" sheetId="21" r:id="rId17"/>
    <sheet name="西山" sheetId="16" r:id="rId18"/>
    <sheet name="筒井" sheetId="15" r:id="rId19"/>
    <sheet name="加藤" sheetId="13" r:id="rId20"/>
    <sheet name="森口" sheetId="14" r:id="rId21"/>
    <sheet name="長尾" sheetId="11" r:id="rId22"/>
    <sheet name="福田" sheetId="33" r:id="rId23"/>
    <sheet name="葛原" sheetId="34" r:id="rId24"/>
    <sheet name="蟹江" sheetId="35" r:id="rId25"/>
    <sheet name="二方" sheetId="36" r:id="rId26"/>
    <sheet name="長谷部" sheetId="54" r:id="rId27"/>
    <sheet name="中田" sheetId="55" r:id="rId28"/>
    <sheet name="加藤大輔" sheetId="56" r:id="rId29"/>
    <sheet name="花井" sheetId="53" r:id="rId30"/>
    <sheet name="安田" sheetId="46" r:id="rId31"/>
    <sheet name="ローダジャス" sheetId="47" r:id="rId32"/>
    <sheet name="荒川" sheetId="48" r:id="rId33"/>
    <sheet name="須原" sheetId="49" r:id="rId34"/>
    <sheet name="中島" sheetId="50" r:id="rId35"/>
    <sheet name="小林" sheetId="51" r:id="rId36"/>
    <sheet name="中村" sheetId="52" r:id="rId37"/>
    <sheet name="飯久保" sheetId="37" r:id="rId38"/>
    <sheet name="渕上" sheetId="38" r:id="rId39"/>
    <sheet name="鈴木友瑠" sheetId="39" r:id="rId40"/>
    <sheet name="蟹江くるみ" sheetId="40" r:id="rId41"/>
    <sheet name="三輪" sheetId="41" r:id="rId42"/>
    <sheet name="黒田" sheetId="42" r:id="rId43"/>
    <sheet name="磯村英男" sheetId="43" r:id="rId44"/>
    <sheet name="端慶山" sheetId="57" r:id="rId45"/>
    <sheet name="栗木" sheetId="58" r:id="rId46"/>
    <sheet name="井野" sheetId="59" r:id="rId47"/>
    <sheet name="佐野" sheetId="60" r:id="rId48"/>
    <sheet name="阿南" sheetId="61" r:id="rId49"/>
    <sheet name="西山希望" sheetId="62" r:id="rId50"/>
    <sheet name="吉田" sheetId="63" r:id="rId51"/>
    <sheet name="猿子" sheetId="64" r:id="rId52"/>
    <sheet name="酒井" sheetId="65" r:id="rId53"/>
    <sheet name="公文" sheetId="66" r:id="rId54"/>
    <sheet name="長坂" sheetId="67" r:id="rId55"/>
    <sheet name="新見" sheetId="68" r:id="rId56"/>
    <sheet name="サンプル" sheetId="8" r:id="rId57"/>
    <sheet name="Sheet21" sheetId="32" r:id="rId58"/>
  </sheets>
  <definedNames>
    <definedName name="_xlnm.Print_Area" localSheetId="56">サンプル!$A$1:$L$46</definedName>
    <definedName name="_xlnm.Print_Area" localSheetId="31">ローダジャス!$B$2:$I$45</definedName>
    <definedName name="_xlnm.Print_Area" localSheetId="48">阿南!$B$2:$I$45</definedName>
    <definedName name="_xlnm.Print_Area" localSheetId="16">芦澤!$B$2:$I$45</definedName>
    <definedName name="_xlnm.Print_Area" localSheetId="30">安田!$B$2:$I$45</definedName>
    <definedName name="_xlnm.Print_Area" localSheetId="46">井野!$B$2:$I$45</definedName>
    <definedName name="_xlnm.Print_Area" localSheetId="14">磯村!$B$2:$I$45</definedName>
    <definedName name="_xlnm.Print_Area" localSheetId="43">磯村英男!$B$2:$I$45</definedName>
    <definedName name="_xlnm.Print_Area" localSheetId="51">猿子!$B$2:$I$45</definedName>
    <definedName name="_xlnm.Print_Area" localSheetId="2">岡田!$B$2:$I$45</definedName>
    <definedName name="_xlnm.Print_Area" localSheetId="19">加藤!$B$2:$I$45</definedName>
    <definedName name="_xlnm.Print_Area" localSheetId="28">加藤大輔!$B$2:$I$45</definedName>
    <definedName name="_xlnm.Print_Area" localSheetId="29">花井!$B$2:$I$45</definedName>
    <definedName name="_xlnm.Print_Area" localSheetId="24">蟹江!$B$2:$I$45</definedName>
    <definedName name="_xlnm.Print_Area" localSheetId="40">蟹江くるみ!$B$2:$I$45</definedName>
    <definedName name="_xlnm.Print_Area" localSheetId="23">葛原!$B$2:$I$45</definedName>
    <definedName name="_xlnm.Print_Area" localSheetId="50">吉田!$B$2:$I$45</definedName>
    <definedName name="_xlnm.Print_Area" localSheetId="45">栗木!$B$2:$I$45</definedName>
    <definedName name="_xlnm.Print_Area" localSheetId="15">古池!$B$2:$I$45</definedName>
    <definedName name="_xlnm.Print_Area" localSheetId="53">公文!$B$2:$I$45</definedName>
    <definedName name="_xlnm.Print_Area" localSheetId="32">荒川!$B$2:$I$45</definedName>
    <definedName name="_xlnm.Print_Area" localSheetId="42">黒田!$B$2:$I$45</definedName>
    <definedName name="_xlnm.Print_Area" localSheetId="47">佐野!$B$2:$I$45</definedName>
    <definedName name="_xlnm.Print_Area" localSheetId="6">榊原!$B$2:$I$45</definedName>
    <definedName name="_xlnm.Print_Area" localSheetId="41">三輪!$B$2:$I$45</definedName>
    <definedName name="_xlnm.Print_Area" localSheetId="12">篠田!$B$2:$I$45</definedName>
    <definedName name="_xlnm.Print_Area" localSheetId="52">酒井!$B$2:$I$45</definedName>
    <definedName name="_xlnm.Print_Area" localSheetId="35">小林!$B$2:$I$45</definedName>
    <definedName name="_xlnm.Print_Area" localSheetId="3">植山!$B$2:$I$45</definedName>
    <definedName name="_xlnm.Print_Area" localSheetId="55">新見!$B$2:$I$44</definedName>
    <definedName name="_xlnm.Print_Area" localSheetId="20">森口!$B$2:$I$45</definedName>
    <definedName name="_xlnm.Print_Area" localSheetId="33">須原!$B$2:$I$45</definedName>
    <definedName name="_xlnm.Print_Area" localSheetId="4">成田!$B$2:$I$45</definedName>
    <definedName name="_xlnm.Print_Area" localSheetId="17">西山!$B$2:$I$45</definedName>
    <definedName name="_xlnm.Print_Area" localSheetId="49">西山希望!$B$2:$I$45</definedName>
    <definedName name="_xlnm.Print_Area" localSheetId="8">西出!$B$2:$I$45</definedName>
    <definedName name="_xlnm.Print_Area" localSheetId="5">西濱!$B$2:$I$45</definedName>
    <definedName name="_xlnm.Print_Area" localSheetId="13">斉藤!$B$2:$I$45</definedName>
    <definedName name="_xlnm.Print_Area" localSheetId="9">村瀬!$B$2:$I$45</definedName>
    <definedName name="_xlnm.Print_Area" localSheetId="44">端慶山!$B$2:$I$45</definedName>
    <definedName name="_xlnm.Print_Area" localSheetId="36">中村!$B$2:$I$45</definedName>
    <definedName name="_xlnm.Print_Area" localSheetId="27">中田!$B$2:$I$45</definedName>
    <definedName name="_xlnm.Print_Area" localSheetId="34">中島!$B$2:$I$45</definedName>
    <definedName name="_xlnm.Print_Area" localSheetId="7">朝原!$B$2:$I$45</definedName>
    <definedName name="_xlnm.Print_Area" localSheetId="54">長坂!$B$2:$I$45</definedName>
    <definedName name="_xlnm.Print_Area" localSheetId="26">長谷部!$B$2:$I$45</definedName>
    <definedName name="_xlnm.Print_Area" localSheetId="21">長尾!$B$2:$I$45</definedName>
    <definedName name="_xlnm.Print_Area" localSheetId="10">天野!$B$2:$I$45</definedName>
    <definedName name="_xlnm.Print_Area" localSheetId="11">東原!$B$2:$I$45</definedName>
    <definedName name="_xlnm.Print_Area" localSheetId="18">筒井!$B$2:$I$45</definedName>
    <definedName name="_xlnm.Print_Area" localSheetId="25">二方!$B$2:$I$45</definedName>
    <definedName name="_xlnm.Print_Area" localSheetId="37">飯久保!$B$2:$I$45</definedName>
    <definedName name="_xlnm.Print_Area" localSheetId="22">福田!$B$2:$I$45</definedName>
    <definedName name="_xlnm.Print_Area" localSheetId="39">鈴木友瑠!$B$2:$I$45</definedName>
    <definedName name="_xlnm.Print_Area" localSheetId="38">渕上!$B$2:$I$45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1" i="11" l="1"/>
  <c r="H34" i="46"/>
  <c r="H31" i="39"/>
  <c r="H34" i="39" s="1"/>
  <c r="H31" i="2"/>
  <c r="H31" i="6"/>
  <c r="H31" i="69"/>
  <c r="H34" i="69" s="1"/>
  <c r="F25" i="69" s="1"/>
  <c r="H31" i="23"/>
  <c r="H31" i="24"/>
  <c r="H31" i="25"/>
  <c r="H31" i="26"/>
  <c r="H31" i="27"/>
  <c r="H31" i="28"/>
  <c r="H31" i="29"/>
  <c r="H31" i="30"/>
  <c r="H31" i="31"/>
  <c r="H31" i="17"/>
  <c r="H31" i="18"/>
  <c r="H31" i="19"/>
  <c r="H31" i="20"/>
  <c r="H31" i="21"/>
  <c r="H31" i="16"/>
  <c r="H31" i="13"/>
  <c r="H31" i="14"/>
  <c r="H31" i="33"/>
  <c r="H34" i="33" s="1"/>
  <c r="H31" i="34"/>
  <c r="H31" i="35"/>
  <c r="H31" i="36"/>
  <c r="H31" i="54"/>
  <c r="H31" i="55"/>
  <c r="H34" i="55" s="1"/>
  <c r="F25" i="55" s="1"/>
  <c r="H31" i="56"/>
  <c r="H34" i="56" s="1"/>
  <c r="F25" i="56" s="1"/>
  <c r="H31" i="53"/>
  <c r="H34" i="53" s="1"/>
  <c r="F25" i="53" s="1"/>
  <c r="H31" i="46"/>
  <c r="H31" i="47"/>
  <c r="H34" i="47" s="1"/>
  <c r="F25" i="47" s="1"/>
  <c r="H31" i="48"/>
  <c r="H31" i="49"/>
  <c r="H31" i="50"/>
  <c r="H34" i="50" s="1"/>
  <c r="F25" i="50" s="1"/>
  <c r="H31" i="51"/>
  <c r="H34" i="51" s="1"/>
  <c r="F25" i="51" s="1"/>
  <c r="H31" i="52"/>
  <c r="H31" i="37"/>
  <c r="H31" i="38"/>
  <c r="H31" i="40"/>
  <c r="H31" i="41"/>
  <c r="H31" i="42"/>
  <c r="H31" i="43"/>
  <c r="H31" i="57"/>
  <c r="H31" i="58"/>
  <c r="H34" i="58" s="1"/>
  <c r="F25" i="58" s="1"/>
  <c r="H31" i="59"/>
  <c r="H34" i="59" s="1"/>
  <c r="F25" i="59" s="1"/>
  <c r="H31" i="60"/>
  <c r="H34" i="60" s="1"/>
  <c r="F25" i="60" s="1"/>
  <c r="H31" i="61"/>
  <c r="H34" i="61" s="1"/>
  <c r="F25" i="61" s="1"/>
  <c r="H31" i="62"/>
  <c r="H31" i="63"/>
  <c r="H34" i="63" s="1"/>
  <c r="F25" i="63" s="1"/>
  <c r="H31" i="64"/>
  <c r="H34" i="64" s="1"/>
  <c r="F25" i="64" s="1"/>
  <c r="H31" i="65"/>
  <c r="H31" i="66"/>
  <c r="H34" i="66" s="1"/>
  <c r="F25" i="66" s="1"/>
  <c r="H31" i="67"/>
  <c r="H31" i="68"/>
  <c r="H33" i="68" s="1"/>
  <c r="F25" i="68" s="1"/>
  <c r="H31" i="8"/>
  <c r="H31" i="32"/>
  <c r="H31" i="15"/>
  <c r="D7" i="69"/>
  <c r="D8" i="69"/>
  <c r="H20" i="69"/>
  <c r="H19" i="69"/>
  <c r="H18" i="69"/>
  <c r="D8" i="67"/>
  <c r="D8" i="66"/>
  <c r="D8" i="65"/>
  <c r="H20" i="68"/>
  <c r="H19" i="68"/>
  <c r="H18" i="68"/>
  <c r="H34" i="67"/>
  <c r="F25" i="67" s="1"/>
  <c r="H20" i="67"/>
  <c r="H19" i="67"/>
  <c r="H18" i="67"/>
  <c r="H20" i="66"/>
  <c r="H19" i="66"/>
  <c r="H18" i="66"/>
  <c r="H34" i="65"/>
  <c r="F25" i="65" s="1"/>
  <c r="H20" i="65"/>
  <c r="H19" i="65"/>
  <c r="H18" i="65"/>
  <c r="D8" i="64"/>
  <c r="D8" i="63"/>
  <c r="D8" i="62"/>
  <c r="D8" i="61"/>
  <c r="D8" i="60"/>
  <c r="D8" i="59"/>
  <c r="D8" i="58"/>
  <c r="D8" i="57"/>
  <c r="D8" i="43"/>
  <c r="D8" i="42"/>
  <c r="D8" i="41"/>
  <c r="D8" i="40"/>
  <c r="H20" i="64"/>
  <c r="H19" i="64"/>
  <c r="H18" i="64"/>
  <c r="H20" i="63"/>
  <c r="H19" i="63"/>
  <c r="H18" i="63"/>
  <c r="H34" i="62"/>
  <c r="F25" i="62" s="1"/>
  <c r="H20" i="62"/>
  <c r="H19" i="62"/>
  <c r="H18" i="62"/>
  <c r="H20" i="61"/>
  <c r="H19" i="61"/>
  <c r="H18" i="61"/>
  <c r="H20" i="60"/>
  <c r="H19" i="60"/>
  <c r="H18" i="60"/>
  <c r="H20" i="59"/>
  <c r="H19" i="59"/>
  <c r="H18" i="59"/>
  <c r="H20" i="58"/>
  <c r="H19" i="58"/>
  <c r="H18" i="58"/>
  <c r="H34" i="57"/>
  <c r="F25" i="57" s="1"/>
  <c r="H20" i="57"/>
  <c r="H19" i="57"/>
  <c r="H18" i="57"/>
  <c r="D8" i="39"/>
  <c r="D8" i="38"/>
  <c r="D8" i="37"/>
  <c r="D8" i="52"/>
  <c r="D8" i="51"/>
  <c r="D8" i="50"/>
  <c r="D8" i="49"/>
  <c r="D8" i="48"/>
  <c r="D8" i="47"/>
  <c r="D8" i="46"/>
  <c r="D8" i="53"/>
  <c r="D8" i="56"/>
  <c r="D8" i="55"/>
  <c r="D8" i="54"/>
  <c r="H20" i="56"/>
  <c r="H19" i="56"/>
  <c r="H18" i="56"/>
  <c r="H20" i="55"/>
  <c r="H19" i="55"/>
  <c r="H18" i="55"/>
  <c r="H34" i="54"/>
  <c r="F25" i="54" s="1"/>
  <c r="H20" i="54"/>
  <c r="H19" i="54"/>
  <c r="H18" i="54"/>
  <c r="H20" i="53"/>
  <c r="H19" i="53"/>
  <c r="H18" i="53"/>
  <c r="H34" i="52"/>
  <c r="F25" i="52" s="1"/>
  <c r="H20" i="52"/>
  <c r="H19" i="52"/>
  <c r="H18" i="52"/>
  <c r="H20" i="51"/>
  <c r="H19" i="51"/>
  <c r="H18" i="51"/>
  <c r="H20" i="50"/>
  <c r="H19" i="50"/>
  <c r="H18" i="50"/>
  <c r="H34" i="49"/>
  <c r="F25" i="49" s="1"/>
  <c r="H20" i="49"/>
  <c r="H19" i="49"/>
  <c r="H18" i="49"/>
  <c r="H34" i="48"/>
  <c r="F25" i="48" s="1"/>
  <c r="H20" i="48"/>
  <c r="H19" i="48"/>
  <c r="H18" i="48"/>
  <c r="H20" i="47"/>
  <c r="H19" i="47"/>
  <c r="H18" i="47"/>
  <c r="F25" i="46"/>
  <c r="H20" i="46"/>
  <c r="H19" i="46"/>
  <c r="H18" i="46"/>
  <c r="D8" i="36" l="1"/>
  <c r="D8" i="35"/>
  <c r="D8" i="34"/>
  <c r="D8" i="33"/>
  <c r="D8" i="11"/>
  <c r="D8" i="14"/>
  <c r="D8" i="13"/>
  <c r="D8" i="15"/>
  <c r="D8" i="16"/>
  <c r="D8" i="21"/>
  <c r="D8" i="20"/>
  <c r="D8" i="19"/>
  <c r="D8" i="18"/>
  <c r="D8" i="17"/>
  <c r="D8" i="31"/>
  <c r="D8" i="30"/>
  <c r="D8" i="29"/>
  <c r="D7" i="29"/>
  <c r="D8" i="28"/>
  <c r="D7" i="28"/>
  <c r="D8" i="27"/>
  <c r="D7" i="27"/>
  <c r="D8" i="26"/>
  <c r="D7" i="26"/>
  <c r="D8" i="25"/>
  <c r="D7" i="25"/>
  <c r="D8" i="24"/>
  <c r="D7" i="24"/>
  <c r="D8" i="23"/>
  <c r="D7" i="23"/>
  <c r="H34" i="43"/>
  <c r="F25" i="43" s="1"/>
  <c r="H20" i="43"/>
  <c r="H19" i="43"/>
  <c r="H18" i="43"/>
  <c r="H34" i="42"/>
  <c r="F25" i="42" s="1"/>
  <c r="H20" i="42"/>
  <c r="H19" i="42"/>
  <c r="H18" i="42"/>
  <c r="H34" i="41"/>
  <c r="F25" i="41" s="1"/>
  <c r="H20" i="41"/>
  <c r="H19" i="41"/>
  <c r="H18" i="41"/>
  <c r="H34" i="40"/>
  <c r="F25" i="40" s="1"/>
  <c r="H20" i="40"/>
  <c r="H19" i="40"/>
  <c r="H18" i="40"/>
  <c r="F25" i="39"/>
  <c r="H20" i="39"/>
  <c r="H19" i="39"/>
  <c r="H18" i="39"/>
  <c r="H34" i="38"/>
  <c r="F25" i="38" s="1"/>
  <c r="H20" i="38"/>
  <c r="H19" i="38"/>
  <c r="H18" i="38"/>
  <c r="H34" i="37"/>
  <c r="F25" i="37" s="1"/>
  <c r="H20" i="37"/>
  <c r="H19" i="37"/>
  <c r="H18" i="37"/>
  <c r="H34" i="36"/>
  <c r="F25" i="36" s="1"/>
  <c r="H20" i="36"/>
  <c r="H19" i="36"/>
  <c r="H18" i="36"/>
  <c r="H34" i="35"/>
  <c r="F25" i="35" s="1"/>
  <c r="H20" i="35"/>
  <c r="H19" i="35"/>
  <c r="H18" i="35"/>
  <c r="H34" i="34"/>
  <c r="F25" i="34" s="1"/>
  <c r="H20" i="34"/>
  <c r="H19" i="34"/>
  <c r="H18" i="34"/>
  <c r="F25" i="33"/>
  <c r="H20" i="33"/>
  <c r="H19" i="33"/>
  <c r="H18" i="33"/>
  <c r="H34" i="31"/>
  <c r="F25" i="31" s="1"/>
  <c r="H20" i="31"/>
  <c r="H19" i="31"/>
  <c r="H18" i="31"/>
  <c r="H34" i="30"/>
  <c r="F25" i="30" s="1"/>
  <c r="H20" i="30"/>
  <c r="H19" i="30"/>
  <c r="H18" i="30"/>
  <c r="H34" i="29"/>
  <c r="F25" i="29" s="1"/>
  <c r="H20" i="29"/>
  <c r="H19" i="29"/>
  <c r="H18" i="29"/>
  <c r="H34" i="28"/>
  <c r="F25" i="28" s="1"/>
  <c r="H20" i="28"/>
  <c r="H19" i="28"/>
  <c r="H18" i="28"/>
  <c r="H34" i="27"/>
  <c r="F25" i="27" s="1"/>
  <c r="H20" i="27"/>
  <c r="H19" i="27"/>
  <c r="H18" i="27"/>
  <c r="H34" i="26"/>
  <c r="F25" i="26" s="1"/>
  <c r="H20" i="26"/>
  <c r="H19" i="26"/>
  <c r="H18" i="26"/>
  <c r="H34" i="25"/>
  <c r="F25" i="25" s="1"/>
  <c r="H20" i="25"/>
  <c r="H19" i="25"/>
  <c r="H18" i="25"/>
  <c r="H34" i="24"/>
  <c r="F25" i="24" s="1"/>
  <c r="H20" i="24"/>
  <c r="H19" i="24"/>
  <c r="H18" i="24"/>
  <c r="H34" i="23"/>
  <c r="F25" i="23" s="1"/>
  <c r="H20" i="23"/>
  <c r="H19" i="23"/>
  <c r="H18" i="23"/>
  <c r="H34" i="21"/>
  <c r="F25" i="21" s="1"/>
  <c r="H20" i="21"/>
  <c r="H19" i="21"/>
  <c r="H18" i="21"/>
  <c r="H34" i="20"/>
  <c r="F25" i="20" s="1"/>
  <c r="H20" i="20"/>
  <c r="H19" i="20"/>
  <c r="H18" i="20"/>
  <c r="H34" i="19"/>
  <c r="F25" i="19" s="1"/>
  <c r="H20" i="19"/>
  <c r="H19" i="19"/>
  <c r="H18" i="19"/>
  <c r="H34" i="18"/>
  <c r="F25" i="18" s="1"/>
  <c r="H20" i="18"/>
  <c r="H19" i="18"/>
  <c r="H18" i="18"/>
  <c r="H34" i="17"/>
  <c r="F25" i="17" s="1"/>
  <c r="H20" i="17"/>
  <c r="H19" i="17"/>
  <c r="H18" i="17"/>
  <c r="H34" i="16"/>
  <c r="F25" i="16" s="1"/>
  <c r="H20" i="16"/>
  <c r="H19" i="16"/>
  <c r="H18" i="16"/>
  <c r="H34" i="15"/>
  <c r="F25" i="15" s="1"/>
  <c r="H20" i="15"/>
  <c r="H19" i="15"/>
  <c r="H18" i="15"/>
  <c r="H34" i="14"/>
  <c r="F25" i="14" s="1"/>
  <c r="H20" i="14"/>
  <c r="H19" i="14"/>
  <c r="H18" i="14"/>
  <c r="H34" i="13"/>
  <c r="F25" i="13" s="1"/>
  <c r="H20" i="13"/>
  <c r="H19" i="13"/>
  <c r="H18" i="13"/>
  <c r="H34" i="11"/>
  <c r="F25" i="11" s="1"/>
  <c r="H20" i="11"/>
  <c r="H19" i="11"/>
  <c r="H18" i="11"/>
  <c r="I29" i="8" l="1"/>
  <c r="D29" i="8"/>
  <c r="I28" i="8"/>
  <c r="D28" i="8"/>
</calcChain>
</file>

<file path=xl/sharedStrings.xml><?xml version="1.0" encoding="utf-8"?>
<sst xmlns="http://schemas.openxmlformats.org/spreadsheetml/2006/main" count="1916" uniqueCount="175">
  <si>
    <t>事業者情報管理</t>
    <rPh sb="0" eb="3">
      <t>ジギョウシャ</t>
    </rPh>
    <rPh sb="3" eb="5">
      <t>ジョウホウ</t>
    </rPh>
    <rPh sb="5" eb="7">
      <t>カンリ</t>
    </rPh>
    <phoneticPr fontId="7"/>
  </si>
  <si>
    <t>事業者（請求者）名</t>
    <rPh sb="0" eb="3">
      <t>ジギョウシャ</t>
    </rPh>
    <rPh sb="4" eb="7">
      <t>セイキュウシャ</t>
    </rPh>
    <rPh sb="8" eb="9">
      <t>メイ</t>
    </rPh>
    <phoneticPr fontId="7"/>
  </si>
  <si>
    <t>株式会社TRINITYPARTNERS</t>
    <rPh sb="0" eb="2">
      <t>カブシキ</t>
    </rPh>
    <rPh sb="2" eb="4">
      <t>カイシャ</t>
    </rPh>
    <phoneticPr fontId="7"/>
  </si>
  <si>
    <t>事業所名</t>
    <rPh sb="0" eb="2">
      <t>ジギョウ</t>
    </rPh>
    <rPh sb="2" eb="3">
      <t>ショ</t>
    </rPh>
    <rPh sb="3" eb="4">
      <t>メイ</t>
    </rPh>
    <phoneticPr fontId="7"/>
  </si>
  <si>
    <t>Ｈａｒｅｒｕｂａｓｅ　Ｋａｒｉｙａグループホーム奏</t>
    <phoneticPr fontId="7"/>
  </si>
  <si>
    <t>代表者職名</t>
    <rPh sb="0" eb="3">
      <t>ダイヒョウシャ</t>
    </rPh>
    <rPh sb="3" eb="5">
      <t>ショクメイ</t>
    </rPh>
    <phoneticPr fontId="7"/>
  </si>
  <si>
    <t>代表取締役社長</t>
  </si>
  <si>
    <t>代表者氏名</t>
    <rPh sb="0" eb="3">
      <t>ダイヒョウシャ</t>
    </rPh>
    <rPh sb="3" eb="5">
      <t>シメイ</t>
    </rPh>
    <phoneticPr fontId="7"/>
  </si>
  <si>
    <t>澤田昌志</t>
  </si>
  <si>
    <t>事業者電話番号</t>
    <rPh sb="0" eb="3">
      <t>ジギョウシャ</t>
    </rPh>
    <rPh sb="3" eb="5">
      <t>デンワ</t>
    </rPh>
    <rPh sb="5" eb="7">
      <t>バンゴウ</t>
    </rPh>
    <phoneticPr fontId="7"/>
  </si>
  <si>
    <t>0566-63-6817</t>
  </si>
  <si>
    <t>事業者FAX番号</t>
    <rPh sb="0" eb="3">
      <t>ジギョウシャ</t>
    </rPh>
    <rPh sb="6" eb="8">
      <t>バンゴウ</t>
    </rPh>
    <phoneticPr fontId="7"/>
  </si>
  <si>
    <t>0566-63-6818</t>
  </si>
  <si>
    <t>受給者番号</t>
    <rPh sb="0" eb="5">
      <t>ジュキュウシャバンゴウ</t>
    </rPh>
    <phoneticPr fontId="7"/>
  </si>
  <si>
    <t>氏名</t>
    <rPh sb="0" eb="2">
      <t>シメイ</t>
    </rPh>
    <phoneticPr fontId="7"/>
  </si>
  <si>
    <t>共同生活援助</t>
  </si>
  <si>
    <t>氏名</t>
  </si>
  <si>
    <t>受給者番号</t>
  </si>
  <si>
    <t>サービスの総費用額</t>
  </si>
  <si>
    <t>発行日</t>
    <rPh sb="0" eb="3">
      <t>ハッコウビ</t>
    </rPh>
    <phoneticPr fontId="7"/>
  </si>
  <si>
    <t>受給者番号</t>
    <rPh sb="0" eb="3">
      <t>ジュキュウシャ</t>
    </rPh>
    <rPh sb="3" eb="5">
      <t>バンゴウ</t>
    </rPh>
    <phoneticPr fontId="7"/>
  </si>
  <si>
    <t>利用者氏名</t>
  </si>
  <si>
    <t>代理受領額通知書</t>
    <rPh sb="0" eb="5">
      <t>ダイリジュリョウガク</t>
    </rPh>
    <rPh sb="5" eb="8">
      <t>ツウチショ</t>
    </rPh>
    <phoneticPr fontId="7"/>
  </si>
  <si>
    <t>事業者</t>
    <rPh sb="0" eb="3">
      <t>ジギョウシャ</t>
    </rPh>
    <phoneticPr fontId="7"/>
  </si>
  <si>
    <t>株式会社</t>
  </si>
  <si>
    <t>TRINITY PARTNERS</t>
  </si>
  <si>
    <t>事業所</t>
    <rPh sb="0" eb="3">
      <t>ジギョウショ</t>
    </rPh>
    <phoneticPr fontId="7"/>
  </si>
  <si>
    <t>HarerubaseKariya
グループホーム奏</t>
  </si>
  <si>
    <t>代表者</t>
    <rPh sb="0" eb="3">
      <t>ダイヒョウシャ</t>
    </rPh>
    <phoneticPr fontId="7"/>
  </si>
  <si>
    <t>電話</t>
    <rPh sb="0" eb="2">
      <t>デンワ</t>
    </rPh>
    <phoneticPr fontId="7"/>
  </si>
  <si>
    <t>FAX</t>
    <phoneticPr fontId="7"/>
  </si>
  <si>
    <t>下記のとおり、契約書に基づき名古屋市より障害福祉サービス等に要した費用を代理受領しましたので、お知らせします。</t>
    <rPh sb="0" eb="2">
      <t>カキ</t>
    </rPh>
    <rPh sb="7" eb="9">
      <t>ケイヤク</t>
    </rPh>
    <rPh sb="9" eb="10">
      <t>ショ</t>
    </rPh>
    <rPh sb="11" eb="12">
      <t>モト</t>
    </rPh>
    <rPh sb="14" eb="18">
      <t>ナゴヤシ</t>
    </rPh>
    <rPh sb="20" eb="24">
      <t>ショウガイフクシ</t>
    </rPh>
    <rPh sb="28" eb="29">
      <t>トウ</t>
    </rPh>
    <rPh sb="30" eb="31">
      <t>ヨウ</t>
    </rPh>
    <rPh sb="33" eb="35">
      <t>ヒヨウ</t>
    </rPh>
    <rPh sb="36" eb="40">
      <t>ダイリジュリョウ</t>
    </rPh>
    <rPh sb="48" eb="49">
      <t>シ</t>
    </rPh>
    <phoneticPr fontId="7"/>
  </si>
  <si>
    <t>￥</t>
  </si>
  <si>
    <t>（AーB＋C）</t>
  </si>
  <si>
    <t>内訳</t>
    <rPh sb="0" eb="2">
      <t>ウチワケ</t>
    </rPh>
    <phoneticPr fontId="7"/>
  </si>
  <si>
    <t>総サービス費(A)</t>
  </si>
  <si>
    <t>利用者負担額(B)</t>
  </si>
  <si>
    <t>特定障害者給付費(C)</t>
  </si>
  <si>
    <t>算定額</t>
    <rPh sb="0" eb="3">
      <t>サンテイガク</t>
    </rPh>
    <phoneticPr fontId="7"/>
  </si>
  <si>
    <t>合計</t>
    <rPh sb="0" eb="2">
      <t>ゴウケイ</t>
    </rPh>
    <phoneticPr fontId="7"/>
  </si>
  <si>
    <t>円</t>
  </si>
  <si>
    <t>様</t>
  </si>
  <si>
    <t>支給元市区町村</t>
  </si>
  <si>
    <t>受給日</t>
  </si>
  <si>
    <t>総支給額（単位）</t>
  </si>
  <si>
    <t>単位</t>
  </si>
  <si>
    <t>総支給額（円）</t>
  </si>
  <si>
    <t>合計</t>
  </si>
  <si>
    <t>〒111-1111</t>
  </si>
  <si>
    <t>提供年月</t>
    <rPh sb="0" eb="4">
      <t>テイキョウネンゲツ</t>
    </rPh>
    <phoneticPr fontId="7"/>
  </si>
  <si>
    <t>尾張旭市A町</t>
  </si>
  <si>
    <t>名古屋　一郎　様</t>
  </si>
  <si>
    <t>児童氏名</t>
    <rPh sb="0" eb="4">
      <t>ジドウシメイ</t>
    </rPh>
    <phoneticPr fontId="7"/>
  </si>
  <si>
    <t>　様</t>
  </si>
  <si>
    <t>令和05年06月01日</t>
  </si>
  <si>
    <t>社会福祉法人　なごや介護会</t>
  </si>
  <si>
    <t>名古屋かいごサービスセントラルパーク営業所</t>
  </si>
  <si>
    <t>代表取締役　名古屋　太郎</t>
  </si>
  <si>
    <t>０５２－１１１－１１１１</t>
  </si>
  <si>
    <t>０５２－２２２－２２２２</t>
  </si>
  <si>
    <t>下記のとおり、契約書に基づき名古屋市より障害福祉サービス等に要した費用を代理受領しましたので、</t>
    <rPh sb="0" eb="2">
      <t>カキ</t>
    </rPh>
    <rPh sb="7" eb="9">
      <t>ケイヤク</t>
    </rPh>
    <rPh sb="9" eb="10">
      <t>ショ</t>
    </rPh>
    <rPh sb="11" eb="12">
      <t>モト</t>
    </rPh>
    <rPh sb="14" eb="18">
      <t>ナゴヤシ</t>
    </rPh>
    <rPh sb="20" eb="24">
      <t>ショウガイフクシ</t>
    </rPh>
    <rPh sb="28" eb="29">
      <t>トウ</t>
    </rPh>
    <rPh sb="30" eb="31">
      <t>ヨウ</t>
    </rPh>
    <rPh sb="33" eb="35">
      <t>ヒヨウ</t>
    </rPh>
    <rPh sb="36" eb="40">
      <t>ダイリジュリョウ</t>
    </rPh>
    <phoneticPr fontId="7"/>
  </si>
  <si>
    <t>お知らせします。</t>
    <rPh sb="1" eb="2">
      <t>シ</t>
    </rPh>
    <phoneticPr fontId="7"/>
  </si>
  <si>
    <t>￥</t>
    <phoneticPr fontId="7"/>
  </si>
  <si>
    <t>（①ー②＋③）</t>
    <phoneticPr fontId="7"/>
  </si>
  <si>
    <t>行動援護</t>
  </si>
  <si>
    <t>令和5年5月</t>
  </si>
  <si>
    <t>①</t>
    <phoneticPr fontId="7"/>
  </si>
  <si>
    <t>利用者負担額</t>
    <rPh sb="0" eb="6">
      <t>リヨウシャフタンガク</t>
    </rPh>
    <phoneticPr fontId="7"/>
  </si>
  <si>
    <t>利用者負担額計</t>
    <rPh sb="0" eb="3">
      <t>リヨウシャ</t>
    </rPh>
    <rPh sb="3" eb="6">
      <t>フタンガク</t>
    </rPh>
    <rPh sb="6" eb="7">
      <t>ケイ</t>
    </rPh>
    <phoneticPr fontId="7"/>
  </si>
  <si>
    <t>就労継続支援（A型）減免額</t>
    <rPh sb="0" eb="4">
      <t>シュウロウケイゾク</t>
    </rPh>
    <rPh sb="4" eb="6">
      <t>シエン</t>
    </rPh>
    <rPh sb="8" eb="9">
      <t>ガタ</t>
    </rPh>
    <rPh sb="10" eb="13">
      <t>ゲンメンガク</t>
    </rPh>
    <phoneticPr fontId="7"/>
  </si>
  <si>
    <t>②</t>
    <phoneticPr fontId="7"/>
  </si>
  <si>
    <t>特定障害者特別給付費</t>
    <rPh sb="0" eb="4">
      <t>トクテイショウガイ</t>
    </rPh>
    <rPh sb="4" eb="5">
      <t>シャ</t>
    </rPh>
    <rPh sb="5" eb="7">
      <t>トクベツ</t>
    </rPh>
    <rPh sb="7" eb="10">
      <t>キュウフヒ</t>
    </rPh>
    <phoneticPr fontId="7"/>
  </si>
  <si>
    <t>実費算定額</t>
    <rPh sb="0" eb="2">
      <t>ジッピ</t>
    </rPh>
    <rPh sb="2" eb="5">
      <t>サンテイガク</t>
    </rPh>
    <phoneticPr fontId="7"/>
  </si>
  <si>
    <t>特定障害者特別給付費</t>
    <rPh sb="0" eb="2">
      <t>トクテイ</t>
    </rPh>
    <rPh sb="2" eb="5">
      <t>ショウガイシャ</t>
    </rPh>
    <rPh sb="5" eb="7">
      <t>トクベツ</t>
    </rPh>
    <rPh sb="7" eb="10">
      <t>キュウフヒ</t>
    </rPh>
    <phoneticPr fontId="7"/>
  </si>
  <si>
    <t>③</t>
    <phoneticPr fontId="7"/>
  </si>
  <si>
    <t>サービス提供月</t>
    <rPh sb="4" eb="7">
      <t xml:space="preserve">テイキョウツキ </t>
    </rPh>
    <phoneticPr fontId="7"/>
  </si>
  <si>
    <t>発行日</t>
    <rPh sb="0" eb="3">
      <t xml:space="preserve">ハッコウビ </t>
    </rPh>
    <phoneticPr fontId="7"/>
  </si>
  <si>
    <t>東原　尚輝</t>
  </si>
  <si>
    <t>篠田　周平</t>
  </si>
  <si>
    <t>天野　正視</t>
  </si>
  <si>
    <t>斉藤　吟</t>
  </si>
  <si>
    <t>磯村　英男</t>
  </si>
  <si>
    <t>古池　陸</t>
  </si>
  <si>
    <t>芦澤　凛</t>
  </si>
  <si>
    <t>西山　希望</t>
  </si>
  <si>
    <t>筒井　奈都美</t>
  </si>
  <si>
    <t>加藤　則子</t>
  </si>
  <si>
    <t>森口　真紀子</t>
  </si>
  <si>
    <t>長尾　夏江</t>
  </si>
  <si>
    <t>福田　奈央　</t>
  </si>
  <si>
    <t>葛原　千草</t>
  </si>
  <si>
    <t>二方　萌衣</t>
  </si>
  <si>
    <t>岡田英樹</t>
    <phoneticPr fontId="7"/>
  </si>
  <si>
    <t>植山　隆</t>
    <phoneticPr fontId="7"/>
  </si>
  <si>
    <t>成田清行</t>
    <phoneticPr fontId="7"/>
  </si>
  <si>
    <t>西濱泰斗</t>
    <rPh sb="0" eb="1">
      <t>ニシ</t>
    </rPh>
    <rPh sb="1" eb="2">
      <t>ハマ</t>
    </rPh>
    <rPh sb="2" eb="4">
      <t>タイト</t>
    </rPh>
    <phoneticPr fontId="10"/>
  </si>
  <si>
    <t>榊原隼翔</t>
    <phoneticPr fontId="7"/>
  </si>
  <si>
    <t>朝原和樹</t>
    <phoneticPr fontId="7"/>
  </si>
  <si>
    <t>西出崇</t>
    <rPh sb="0" eb="2">
      <t>ニシデ</t>
    </rPh>
    <rPh sb="2" eb="3">
      <t>タカシ</t>
    </rPh>
    <phoneticPr fontId="10"/>
  </si>
  <si>
    <t>村瀬昭裕</t>
    <rPh sb="0" eb="2">
      <t>ムラセ</t>
    </rPh>
    <rPh sb="2" eb="4">
      <t>アキヒロ</t>
    </rPh>
    <phoneticPr fontId="10"/>
  </si>
  <si>
    <t>中田有賀里</t>
    <rPh sb="0" eb="2">
      <t xml:space="preserve">ナカタ </t>
    </rPh>
    <rPh sb="3" eb="4">
      <t xml:space="preserve">ガ </t>
    </rPh>
    <rPh sb="4" eb="5">
      <t xml:space="preserve">サト </t>
    </rPh>
    <phoneticPr fontId="7"/>
  </si>
  <si>
    <t>加藤大輔</t>
    <rPh sb="0" eb="1">
      <t xml:space="preserve">カトウ </t>
    </rPh>
    <rPh sb="2" eb="4">
      <t xml:space="preserve">ダイスケ </t>
    </rPh>
    <phoneticPr fontId="7"/>
  </si>
  <si>
    <t>長谷部かす美</t>
    <rPh sb="0" eb="1">
      <t xml:space="preserve">ハセベ </t>
    </rPh>
    <rPh sb="5" eb="6">
      <t>🐍</t>
    </rPh>
    <phoneticPr fontId="7"/>
  </si>
  <si>
    <t xml:space="preserve"> 共同生活援助</t>
    <rPh sb="1" eb="3">
      <t xml:space="preserve">キョウドウ </t>
    </rPh>
    <rPh sb="3" eb="5">
      <t xml:space="preserve">セイカツ </t>
    </rPh>
    <rPh sb="5" eb="7">
      <t xml:space="preserve">エンジョ </t>
    </rPh>
    <phoneticPr fontId="7"/>
  </si>
  <si>
    <t>短期入所</t>
    <rPh sb="0" eb="4">
      <t xml:space="preserve">タンキニュウショ </t>
    </rPh>
    <phoneticPr fontId="7"/>
  </si>
  <si>
    <t>花井聡香</t>
  </si>
  <si>
    <t>安田佳奈</t>
  </si>
  <si>
    <t>ローダジャスティン</t>
  </si>
  <si>
    <t>荒川友彰</t>
  </si>
  <si>
    <t>須原俊樹</t>
  </si>
  <si>
    <t>中島純子</t>
  </si>
  <si>
    <t>小林萌楓</t>
  </si>
  <si>
    <t>中村安伸</t>
  </si>
  <si>
    <t>飯久保智彦</t>
  </si>
  <si>
    <t>渕上舞</t>
  </si>
  <si>
    <t>鈴木友瑠</t>
  </si>
  <si>
    <t>蟹江くるみ</t>
  </si>
  <si>
    <t>三輪セーザル</t>
  </si>
  <si>
    <t>黒田瞳</t>
  </si>
  <si>
    <t>磯村英男</t>
  </si>
  <si>
    <t>端慶山愛梨</t>
  </si>
  <si>
    <t>栗木健治</t>
  </si>
  <si>
    <t>井野真由美</t>
  </si>
  <si>
    <t>佐野友彦</t>
  </si>
  <si>
    <t>阿南加奈恵</t>
  </si>
  <si>
    <t>西山希望</t>
  </si>
  <si>
    <t>吉田陽恵</t>
  </si>
  <si>
    <t>猿子遼</t>
  </si>
  <si>
    <t>酒井花純</t>
  </si>
  <si>
    <t>公文彩友美</t>
  </si>
  <si>
    <t>長坂宙</t>
  </si>
  <si>
    <t>豊田市</t>
    <rPh sb="0" eb="3">
      <t xml:space="preserve">トヨタシ </t>
    </rPh>
    <phoneticPr fontId="7"/>
  </si>
  <si>
    <t>東浦町</t>
    <rPh sb="0" eb="2">
      <t xml:space="preserve">ヒガシウラ </t>
    </rPh>
    <rPh sb="2" eb="3">
      <t xml:space="preserve">チョウ </t>
    </rPh>
    <phoneticPr fontId="7"/>
  </si>
  <si>
    <t>刈谷市</t>
    <rPh sb="0" eb="3">
      <t xml:space="preserve">カリヤシ </t>
    </rPh>
    <phoneticPr fontId="7"/>
  </si>
  <si>
    <t>名古屋市</t>
    <rPh sb="0" eb="4">
      <t xml:space="preserve">ナゴヤシ </t>
    </rPh>
    <phoneticPr fontId="7"/>
  </si>
  <si>
    <t>下記のとおり、契約書に基づき障害福祉サービス等に要した費用を代理受領しましたので、お知らせします。</t>
    <rPh sb="0" eb="2">
      <t>カキ</t>
    </rPh>
    <rPh sb="7" eb="9">
      <t>ケイヤク</t>
    </rPh>
    <rPh sb="9" eb="10">
      <t>ショ</t>
    </rPh>
    <rPh sb="11" eb="12">
      <t>モト</t>
    </rPh>
    <rPh sb="14" eb="18">
      <t>ショウガイフクシ</t>
    </rPh>
    <rPh sb="22" eb="23">
      <t>トウ</t>
    </rPh>
    <rPh sb="24" eb="25">
      <t>ヨウ</t>
    </rPh>
    <rPh sb="27" eb="29">
      <t>ヒヨウ</t>
    </rPh>
    <rPh sb="30" eb="34">
      <t>ダイリジュリョウ</t>
    </rPh>
    <rPh sb="42" eb="43">
      <t>シ</t>
    </rPh>
    <phoneticPr fontId="7"/>
  </si>
  <si>
    <t>下記のとおり、契約書に基づき障害福祉サービス等に要した費用を代理受領しましたので、お知らせします。</t>
    <rPh sb="0" eb="2">
      <t>カキ</t>
    </rPh>
    <rPh sb="7" eb="9">
      <t>ケイヤク</t>
    </rPh>
    <rPh sb="9" eb="10">
      <t>ショ</t>
    </rPh>
    <rPh sb="11" eb="12">
      <t xml:space="preserve">モトヅキ </t>
    </rPh>
    <rPh sb="14" eb="18">
      <t>ショウガイフクシ</t>
    </rPh>
    <rPh sb="22" eb="23">
      <t>トウ</t>
    </rPh>
    <rPh sb="24" eb="25">
      <t>ヨウ</t>
    </rPh>
    <rPh sb="27" eb="29">
      <t>ヒヨウ</t>
    </rPh>
    <rPh sb="30" eb="34">
      <t>ダイリジュリョウ</t>
    </rPh>
    <rPh sb="42" eb="43">
      <t>シ</t>
    </rPh>
    <phoneticPr fontId="7"/>
  </si>
  <si>
    <t>請求書ではありません</t>
    <rPh sb="0" eb="3">
      <t xml:space="preserve">セイキュウショ </t>
    </rPh>
    <phoneticPr fontId="7"/>
  </si>
  <si>
    <t>請求書ではありません</t>
    <rPh sb="2" eb="3">
      <t xml:space="preserve">ショ </t>
    </rPh>
    <phoneticPr fontId="7"/>
  </si>
  <si>
    <t>サービス種別</t>
    <rPh sb="4" eb="6">
      <t xml:space="preserve">シュベツ </t>
    </rPh>
    <phoneticPr fontId="7"/>
  </si>
  <si>
    <t>共同生活援助</t>
    <rPh sb="0" eb="6">
      <t xml:space="preserve">キョウドウセイカツエンジョ </t>
    </rPh>
    <phoneticPr fontId="7"/>
  </si>
  <si>
    <t>市町村</t>
    <rPh sb="0" eb="3">
      <t xml:space="preserve">シチョウソン </t>
    </rPh>
    <phoneticPr fontId="7"/>
  </si>
  <si>
    <t>安城市</t>
    <rPh sb="0" eb="2">
      <t xml:space="preserve">アンジョウ </t>
    </rPh>
    <rPh sb="2" eb="3">
      <t xml:space="preserve">シ </t>
    </rPh>
    <phoneticPr fontId="7"/>
  </si>
  <si>
    <t>井野真由美</t>
    <rPh sb="0" eb="1">
      <t xml:space="preserve">イノ </t>
    </rPh>
    <rPh sb="2" eb="3">
      <t xml:space="preserve">マユミ </t>
    </rPh>
    <phoneticPr fontId="7"/>
  </si>
  <si>
    <t>刈谷市</t>
    <rPh sb="0" eb="1">
      <t xml:space="preserve">カリヤシ </t>
    </rPh>
    <phoneticPr fontId="7"/>
  </si>
  <si>
    <t>岩間砂恵子</t>
    <rPh sb="0" eb="2">
      <t xml:space="preserve">イワマ </t>
    </rPh>
    <rPh sb="2" eb="3">
      <t xml:space="preserve">スナ </t>
    </rPh>
    <rPh sb="3" eb="4">
      <t xml:space="preserve">メグミ </t>
    </rPh>
    <rPh sb="4" eb="5">
      <t xml:space="preserve">コ </t>
    </rPh>
    <phoneticPr fontId="7"/>
  </si>
  <si>
    <t>碧南市</t>
    <rPh sb="0" eb="3">
      <t xml:space="preserve">ヘキナンシ </t>
    </rPh>
    <phoneticPr fontId="7"/>
  </si>
  <si>
    <t>安城市</t>
    <rPh sb="0" eb="1">
      <t xml:space="preserve">アンジョウシ </t>
    </rPh>
    <phoneticPr fontId="7"/>
  </si>
  <si>
    <t>安城市</t>
    <rPh sb="0" eb="3">
      <t xml:space="preserve">アンジョウシ </t>
    </rPh>
    <phoneticPr fontId="7"/>
  </si>
  <si>
    <t>碧南市</t>
    <rPh sb="0" eb="1">
      <t xml:space="preserve">ヘキナンシ </t>
    </rPh>
    <phoneticPr fontId="7"/>
  </si>
  <si>
    <t>新見瑛亮</t>
    <rPh sb="0" eb="2">
      <t xml:space="preserve">ニイミ </t>
    </rPh>
    <rPh sb="2" eb="3">
      <t xml:space="preserve">エイ </t>
    </rPh>
    <rPh sb="3" eb="4">
      <t xml:space="preserve">リョウ </t>
    </rPh>
    <phoneticPr fontId="7"/>
  </si>
  <si>
    <t>知立市</t>
    <rPh sb="0" eb="2">
      <t xml:space="preserve">チリュウ </t>
    </rPh>
    <rPh sb="2" eb="3">
      <t xml:space="preserve">シ </t>
    </rPh>
    <phoneticPr fontId="7"/>
  </si>
  <si>
    <t>大府市</t>
    <rPh sb="0" eb="3">
      <t xml:space="preserve">オオブシ </t>
    </rPh>
    <phoneticPr fontId="7"/>
  </si>
  <si>
    <t>大府市</t>
    <rPh sb="0" eb="1">
      <t xml:space="preserve">オオブシ </t>
    </rPh>
    <phoneticPr fontId="7"/>
  </si>
  <si>
    <t>知立市</t>
    <rPh sb="0" eb="1">
      <t xml:space="preserve">チリュウシ </t>
    </rPh>
    <rPh sb="2" eb="3">
      <t xml:space="preserve">シ </t>
    </rPh>
    <phoneticPr fontId="7"/>
  </si>
  <si>
    <t>高浜市</t>
    <rPh sb="0" eb="2">
      <t xml:space="preserve">タカハマ </t>
    </rPh>
    <rPh sb="2" eb="3">
      <t xml:space="preserve">シ </t>
    </rPh>
    <phoneticPr fontId="7"/>
  </si>
  <si>
    <t>知立市</t>
    <rPh sb="0" eb="2">
      <t xml:space="preserve">チリュウシ </t>
    </rPh>
    <rPh sb="2" eb="3">
      <t xml:space="preserve">シ </t>
    </rPh>
    <phoneticPr fontId="7"/>
  </si>
  <si>
    <t>東浦町</t>
    <rPh sb="0" eb="2">
      <t xml:space="preserve">ヒガシウラ </t>
    </rPh>
    <rPh sb="2" eb="3">
      <t xml:space="preserve">マチ </t>
    </rPh>
    <phoneticPr fontId="7"/>
  </si>
  <si>
    <t>豊明市</t>
    <rPh sb="0" eb="3">
      <t xml:space="preserve">トヨアケシ </t>
    </rPh>
    <phoneticPr fontId="7"/>
  </si>
  <si>
    <t>東浦町</t>
    <rPh sb="0" eb="1">
      <t xml:space="preserve">ヒガシウラ </t>
    </rPh>
    <rPh sb="2" eb="3">
      <t xml:space="preserve">マチ </t>
    </rPh>
    <phoneticPr fontId="7"/>
  </si>
  <si>
    <t>知多市</t>
    <rPh sb="0" eb="2">
      <t xml:space="preserve">チタ </t>
    </rPh>
    <rPh sb="2" eb="3">
      <t xml:space="preserve">シ </t>
    </rPh>
    <phoneticPr fontId="7"/>
  </si>
  <si>
    <t>知多市</t>
    <rPh sb="0" eb="1">
      <t xml:space="preserve">チタシ </t>
    </rPh>
    <phoneticPr fontId="7"/>
  </si>
  <si>
    <t>東海市</t>
    <rPh sb="0" eb="3">
      <t xml:space="preserve">トウカイシ </t>
    </rPh>
    <phoneticPr fontId="7"/>
  </si>
  <si>
    <t>知多市</t>
    <rPh sb="0" eb="3">
      <t xml:space="preserve">チタシ </t>
    </rPh>
    <phoneticPr fontId="7"/>
  </si>
  <si>
    <t>碧南市</t>
    <rPh sb="0" eb="2">
      <t xml:space="preserve">ヘキナン </t>
    </rPh>
    <rPh sb="2" eb="3">
      <t xml:space="preserve">シ </t>
    </rPh>
    <phoneticPr fontId="7"/>
  </si>
  <si>
    <t>3000021745 </t>
  </si>
  <si>
    <t>豊明市</t>
    <rPh sb="0" eb="2">
      <t xml:space="preserve">トヨアケ </t>
    </rPh>
    <rPh sb="2" eb="3">
      <t xml:space="preserve">シ </t>
    </rPh>
    <phoneticPr fontId="7"/>
  </si>
  <si>
    <t>知立市</t>
    <rPh sb="2" eb="3">
      <t xml:space="preserve">シ </t>
    </rPh>
    <phoneticPr fontId="7"/>
  </si>
  <si>
    <t>知立市</t>
    <rPh sb="0" eb="3">
      <t xml:space="preserve">チリュウシ </t>
    </rPh>
    <phoneticPr fontId="7"/>
  </si>
  <si>
    <t>2000009072 </t>
  </si>
  <si>
    <t>刈谷市</t>
    <rPh sb="0" eb="2">
      <t xml:space="preserve">カリヤ </t>
    </rPh>
    <rPh sb="2" eb="3">
      <t xml:space="preserve">シ </t>
    </rPh>
    <phoneticPr fontId="7"/>
  </si>
  <si>
    <t>新見瑛亮</t>
  </si>
  <si>
    <t>3000006563 </t>
  </si>
  <si>
    <t>月分サービス費</t>
    <rPh sb="0" eb="2">
      <t xml:space="preserve">ツキブン </t>
    </rPh>
    <rPh sb="6" eb="7">
      <t xml:space="preserve">ヒ </t>
    </rPh>
    <phoneticPr fontId="7"/>
  </si>
  <si>
    <t>2025/11./20</t>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</si>
</sst>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411]ggge&quot;年&quot;m&quot;月&quot;d&quot;日&quot;;@"/>
    <numFmt numFmtId="177" formatCode="0000000000"/>
    <numFmt numFmtId="178" formatCode="[&lt;=999]000;[&lt;=9999]000\-00;000\-0000"/>
    <numFmt numFmtId="179" formatCode="0_);[Red]\(0\)"/>
  </numFmts>
  <fonts count="28">
    <font>
      <sz val="11"/>
      <color theme="1"/>
      <name val="游ゴシック"/>
      <family val="2"/>
      <charset val="128"/>
      <scheme val="minor"/>
    </font>
    <font>
      <sz val="12"/>
      <color theme="1"/>
      <name val="游ゴシック"/>
      <family val="2"/>
      <charset val="128"/>
      <scheme val="minor"/>
    </font>
    <font>
      <sz val="12"/>
      <color theme="1"/>
      <name val="游ゴシック"/>
      <family val="2"/>
      <charset val="128"/>
      <scheme val="minor"/>
    </font>
    <font>
      <sz val="12"/>
      <color theme="1"/>
      <name val="游ゴシック"/>
      <family val="2"/>
      <charset val="128"/>
      <scheme val="minor"/>
    </font>
    <font>
      <sz val="12"/>
      <color theme="1"/>
      <name val="游ゴシック"/>
      <family val="2"/>
      <charset val="128"/>
      <scheme val="minor"/>
    </font>
    <font>
      <sz val="12"/>
      <color theme="1"/>
      <name val="游ゴシック"/>
      <family val="2"/>
      <charset val="128"/>
      <scheme val="minor"/>
    </font>
    <font>
      <sz val="12"/>
      <color theme="1"/>
      <name val="游ゴシック"/>
      <family val="2"/>
      <charset val="128"/>
      <scheme val="minor"/>
    </font>
    <font>
      <sz val="6"/>
      <name val="游ゴシック"/>
      <family val="2"/>
      <charset val="128"/>
      <scheme val="minor"/>
    </font>
    <font>
      <sz val="14"/>
      <color theme="1"/>
      <name val="游ゴシック"/>
      <family val="2"/>
      <charset val="128"/>
      <scheme val="minor"/>
    </font>
    <font>
      <sz val="14"/>
      <color theme="1"/>
      <name val="游ゴシック"/>
      <family val="3"/>
      <charset val="128"/>
      <scheme val="minor"/>
    </font>
    <font>
      <sz val="11"/>
      <color theme="1"/>
      <name val="游ゴシック"/>
      <family val="2"/>
      <charset val="128"/>
      <scheme val="minor"/>
    </font>
    <font>
      <sz val="12"/>
      <color theme="1"/>
      <name val="游ゴシック"/>
      <family val="2"/>
      <charset val="128"/>
      <scheme val="minor"/>
    </font>
    <font>
      <sz val="12"/>
      <color theme="1"/>
      <name val="游ゴシック"/>
      <family val="3"/>
      <charset val="128"/>
      <scheme val="minor"/>
    </font>
    <font>
      <sz val="16"/>
      <color theme="1"/>
      <name val="游ゴシック"/>
      <family val="2"/>
      <charset val="128"/>
      <scheme val="minor"/>
    </font>
    <font>
      <sz val="18"/>
      <color theme="1"/>
      <name val="游ゴシック"/>
      <family val="2"/>
      <charset val="128"/>
      <scheme val="minor"/>
    </font>
    <font>
      <sz val="16"/>
      <color theme="1"/>
      <name val="游ゴシック"/>
      <family val="3"/>
      <charset val="128"/>
      <scheme val="minor"/>
    </font>
    <font>
      <sz val="18"/>
      <color theme="1"/>
      <name val="游ゴシック"/>
      <family val="3"/>
      <charset val="128"/>
      <scheme val="minor"/>
    </font>
    <font>
      <sz val="9"/>
      <color theme="1"/>
      <name val="游ゴシック"/>
      <family val="3"/>
      <charset val="128"/>
      <scheme val="minor"/>
    </font>
    <font>
      <sz val="11"/>
      <color rgb="FF000000"/>
      <name val="游ゴシック Light"/>
      <family val="2"/>
      <scheme val="major"/>
    </font>
    <font>
      <sz val="14"/>
      <color theme="1"/>
      <name val="游ゴシック Light"/>
      <family val="2"/>
      <scheme val="major"/>
    </font>
    <font>
      <sz val="11"/>
      <color theme="1"/>
      <name val="游ゴシック"/>
      <family val="3"/>
      <charset val="128"/>
      <scheme val="minor"/>
    </font>
    <font>
      <sz val="12"/>
      <color rgb="FF000000"/>
      <name val="游ゴシック Light"/>
      <family val="2"/>
      <scheme val="major"/>
    </font>
    <font>
      <sz val="12"/>
      <color theme="1"/>
      <name val="游ゴシック Light"/>
      <family val="2"/>
      <scheme val="major"/>
    </font>
    <font>
      <sz val="11"/>
      <color theme="1"/>
      <name val="Yu Gothic"/>
      <family val="3"/>
      <charset val="128"/>
    </font>
    <font>
      <sz val="10"/>
      <color theme="1"/>
      <name val="游ゴシック"/>
      <family val="3"/>
      <charset val="128"/>
      <scheme val="minor"/>
    </font>
    <font>
      <b/>
      <sz val="26"/>
      <color rgb="FFFF0000"/>
      <name val="游ゴシック"/>
      <family val="3"/>
      <charset val="128"/>
    </font>
    <font>
      <sz val="11"/>
      <color rgb="FF000000"/>
      <name val="Yu Gothic"/>
      <family val="3"/>
      <charset val="128"/>
    </font>
    <font>
      <sz val="12"/>
      <color theme="1"/>
      <name val="Yu Gothic"/>
      <family val="3"/>
      <charset val="128"/>
    </font>
  </fonts>
  <fills count="5">
    <fill>
      <patternFill patternType="none"/>
    </fill>
    <fill>
      <patternFill patternType="gray125"/>
    </fill>
    <fill>
      <patternFill patternType="solid">
        <fgColor theme="0" tint="-0.14999847407452621"/>
        <bgColor indexed="64"/>
      </patternFill>
    </fill>
    <fill>
      <patternFill patternType="solid">
        <fgColor theme="7" tint="0.79998168889431442"/>
        <bgColor indexed="64"/>
      </patternFill>
    </fill>
    <fill>
      <patternFill patternType="solid">
        <fgColor theme="4" tint="0.79998168889431442"/>
        <bgColor indexed="64"/>
      </patternFill>
    </fill>
  </fills>
  <borders count="30">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style="thin">
        <color indexed="64"/>
      </left>
      <right/>
      <top/>
      <bottom/>
      <diagonal/>
    </border>
    <border>
      <left/>
      <right style="thin">
        <color indexed="64"/>
      </right>
      <top/>
      <bottom style="thin">
        <color indexed="64"/>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indexed="64"/>
      </right>
      <top style="thin">
        <color rgb="FF000000"/>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indexed="64"/>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alignment vertical="center"/>
    </xf>
    <xf numFmtId="38" fontId="10" fillId="0" borderId="0" applyFont="0" applyFill="0" applyBorder="0" applyAlignment="0" applyProtection="0">
      <alignment vertical="center"/>
    </xf>
  </cellStyleXfs>
  <cellXfs count="154">
    <xf numFmtId="0" fontId="0" fillId="0" borderId="0" xfId="0">
      <alignment vertical="center"/>
    </xf>
    <xf numFmtId="0" fontId="8" fillId="0" borderId="0" xfId="0" applyFont="1">
      <alignment vertical="center"/>
    </xf>
    <xf numFmtId="0" fontId="0" fillId="0" borderId="5" xfId="0" applyBorder="1">
      <alignment vertical="center"/>
    </xf>
    <xf numFmtId="0" fontId="0" fillId="0" borderId="7" xfId="0" applyBorder="1">
      <alignment vertical="center"/>
    </xf>
    <xf numFmtId="0" fontId="0" fillId="0" borderId="10" xfId="0" applyBorder="1">
      <alignment vertical="center"/>
    </xf>
    <xf numFmtId="0" fontId="0" fillId="0" borderId="8" xfId="0" applyBorder="1">
      <alignment vertical="center"/>
    </xf>
    <xf numFmtId="0" fontId="8" fillId="0" borderId="0" xfId="0" applyFont="1" applyAlignment="1">
      <alignment horizontal="right" vertical="center"/>
    </xf>
    <xf numFmtId="0" fontId="0" fillId="0" borderId="12" xfId="0" applyBorder="1">
      <alignment vertical="center"/>
    </xf>
    <xf numFmtId="14" fontId="0" fillId="0" borderId="12" xfId="0" applyNumberFormat="1" applyBorder="1">
      <alignment vertical="center"/>
    </xf>
    <xf numFmtId="177" fontId="0" fillId="0" borderId="12" xfId="0" applyNumberFormat="1" applyBorder="1">
      <alignment vertical="center"/>
    </xf>
    <xf numFmtId="177" fontId="0" fillId="0" borderId="0" xfId="0" applyNumberFormat="1">
      <alignment vertical="center"/>
    </xf>
    <xf numFmtId="0" fontId="11" fillId="0" borderId="0" xfId="0" applyFont="1">
      <alignment vertical="center"/>
    </xf>
    <xf numFmtId="0" fontId="9" fillId="0" borderId="0" xfId="0" applyFont="1">
      <alignment vertical="center"/>
    </xf>
    <xf numFmtId="177" fontId="9" fillId="0" borderId="0" xfId="0" applyNumberFormat="1" applyFont="1">
      <alignment vertical="center"/>
    </xf>
    <xf numFmtId="176" fontId="8" fillId="0" borderId="0" xfId="0" applyNumberFormat="1" applyFont="1" applyAlignment="1">
      <alignment horizontal="right" vertical="center"/>
    </xf>
    <xf numFmtId="0" fontId="13" fillId="0" borderId="0" xfId="0" applyFont="1" applyAlignment="1">
      <alignment horizontal="right" vertical="center"/>
    </xf>
    <xf numFmtId="0" fontId="15" fillId="0" borderId="0" xfId="0" applyFont="1">
      <alignment vertical="center"/>
    </xf>
    <xf numFmtId="0" fontId="12" fillId="0" borderId="8" xfId="0" applyFont="1" applyBorder="1">
      <alignment vertical="center"/>
    </xf>
    <xf numFmtId="0" fontId="12" fillId="0" borderId="0" xfId="0" applyFont="1">
      <alignment vertical="center"/>
    </xf>
    <xf numFmtId="0" fontId="12" fillId="0" borderId="10" xfId="0" applyFont="1" applyBorder="1">
      <alignment vertical="center"/>
    </xf>
    <xf numFmtId="38" fontId="12" fillId="0" borderId="10" xfId="1" applyFont="1" applyBorder="1">
      <alignment vertical="center"/>
    </xf>
    <xf numFmtId="0" fontId="12" fillId="0" borderId="7" xfId="0" applyFont="1" applyBorder="1">
      <alignment vertical="center"/>
    </xf>
    <xf numFmtId="0" fontId="12" fillId="0" borderId="11" xfId="0" applyFont="1" applyBorder="1">
      <alignment vertical="center"/>
    </xf>
    <xf numFmtId="0" fontId="12" fillId="0" borderId="9" xfId="0" applyFont="1" applyBorder="1">
      <alignment vertical="center"/>
    </xf>
    <xf numFmtId="38" fontId="12" fillId="0" borderId="9" xfId="0" applyNumberFormat="1" applyFont="1" applyBorder="1">
      <alignment vertical="center"/>
    </xf>
    <xf numFmtId="0" fontId="12" fillId="0" borderId="5" xfId="0" applyFont="1" applyBorder="1">
      <alignment vertical="center"/>
    </xf>
    <xf numFmtId="0" fontId="12" fillId="0" borderId="4" xfId="0" applyFont="1" applyBorder="1">
      <alignment vertical="center"/>
    </xf>
    <xf numFmtId="38" fontId="12" fillId="0" borderId="11" xfId="1" applyFont="1" applyBorder="1">
      <alignment vertical="center"/>
    </xf>
    <xf numFmtId="38" fontId="12" fillId="0" borderId="9" xfId="1" applyFont="1" applyBorder="1">
      <alignment vertical="center"/>
    </xf>
    <xf numFmtId="0" fontId="11" fillId="0" borderId="6" xfId="0" applyFont="1" applyBorder="1">
      <alignment vertical="center"/>
    </xf>
    <xf numFmtId="0" fontId="12" fillId="0" borderId="10" xfId="0" applyFont="1" applyBorder="1" applyAlignment="1">
      <alignment horizontal="right" vertical="center"/>
    </xf>
    <xf numFmtId="0" fontId="12" fillId="0" borderId="6" xfId="0" applyFont="1" applyBorder="1">
      <alignment vertical="center"/>
    </xf>
    <xf numFmtId="0" fontId="12" fillId="0" borderId="4" xfId="0" applyFont="1" applyBorder="1" applyAlignment="1">
      <alignment horizontal="right" vertical="center"/>
    </xf>
    <xf numFmtId="0" fontId="8" fillId="0" borderId="0" xfId="0" applyFont="1" applyAlignment="1">
      <alignment horizontal="center" vertical="center" wrapText="1"/>
    </xf>
    <xf numFmtId="178" fontId="0" fillId="0" borderId="12" xfId="0" applyNumberFormat="1" applyBorder="1">
      <alignment vertical="center"/>
    </xf>
    <xf numFmtId="0" fontId="0" fillId="0" borderId="12" xfId="0" applyBorder="1" applyAlignment="1">
      <alignment horizontal="left" vertical="center"/>
    </xf>
    <xf numFmtId="0" fontId="17" fillId="0" borderId="12" xfId="0" applyFont="1" applyBorder="1">
      <alignment vertical="center"/>
    </xf>
    <xf numFmtId="0" fontId="0" fillId="0" borderId="0" xfId="0" applyAlignment="1">
      <alignment horizontal="right" vertical="center"/>
    </xf>
    <xf numFmtId="0" fontId="19" fillId="0" borderId="18" xfId="0" applyFont="1" applyBorder="1">
      <alignment vertical="center"/>
    </xf>
    <xf numFmtId="38" fontId="9" fillId="0" borderId="0" xfId="1" applyFont="1" applyBorder="1">
      <alignment vertical="center"/>
    </xf>
    <xf numFmtId="0" fontId="9" fillId="0" borderId="0" xfId="0" applyFont="1" applyAlignment="1">
      <alignment horizontal="center" vertical="center"/>
    </xf>
    <xf numFmtId="0" fontId="9" fillId="0" borderId="0" xfId="0" applyFont="1" applyAlignment="1">
      <alignment horizontal="right" vertical="center"/>
    </xf>
    <xf numFmtId="0" fontId="19" fillId="0" borderId="21" xfId="0" applyFont="1" applyBorder="1">
      <alignment vertical="center"/>
    </xf>
    <xf numFmtId="0" fontId="18" fillId="0" borderId="24" xfId="0" applyFont="1" applyBorder="1">
      <alignment vertical="center"/>
    </xf>
    <xf numFmtId="0" fontId="18" fillId="0" borderId="23" xfId="0" applyFont="1" applyBorder="1">
      <alignment vertical="center"/>
    </xf>
    <xf numFmtId="0" fontId="18" fillId="0" borderId="16" xfId="0" applyFont="1" applyBorder="1">
      <alignment vertical="center"/>
    </xf>
    <xf numFmtId="0" fontId="18" fillId="0" borderId="19" xfId="0" applyFont="1" applyBorder="1">
      <alignment vertical="center"/>
    </xf>
    <xf numFmtId="0" fontId="0" fillId="0" borderId="13" xfId="0" applyBorder="1" applyAlignment="1">
      <alignment horizontal="center" vertical="center"/>
    </xf>
    <xf numFmtId="0" fontId="0" fillId="0" borderId="25" xfId="0" applyBorder="1" applyAlignment="1">
      <alignment horizontal="center" vertical="center"/>
    </xf>
    <xf numFmtId="0" fontId="20" fillId="0" borderId="0" xfId="0" applyFont="1" applyAlignment="1">
      <alignment vertical="center" wrapText="1"/>
    </xf>
    <xf numFmtId="0" fontId="20" fillId="0" borderId="0" xfId="0" applyFont="1" applyAlignment="1">
      <alignment horizontal="left" vertical="center"/>
    </xf>
    <xf numFmtId="0" fontId="20" fillId="0" borderId="0" xfId="0" applyFont="1">
      <alignment vertical="center"/>
    </xf>
    <xf numFmtId="0" fontId="14" fillId="0" borderId="0" xfId="0" applyFont="1">
      <alignment vertical="center"/>
    </xf>
    <xf numFmtId="38" fontId="9" fillId="0" borderId="0" xfId="1" applyFont="1" applyBorder="1" applyAlignment="1">
      <alignment vertical="center"/>
    </xf>
    <xf numFmtId="38" fontId="9" fillId="0" borderId="0" xfId="0" applyNumberFormat="1" applyFont="1">
      <alignment vertical="center"/>
    </xf>
    <xf numFmtId="0" fontId="8" fillId="0" borderId="0" xfId="0" applyFont="1" applyAlignment="1">
      <alignment vertical="center" textRotation="255"/>
    </xf>
    <xf numFmtId="0" fontId="8" fillId="0" borderId="0" xfId="0" applyFont="1" applyAlignment="1">
      <alignment vertical="center" textRotation="255" wrapText="1"/>
    </xf>
    <xf numFmtId="0" fontId="9" fillId="0" borderId="0" xfId="0" applyFont="1" applyAlignment="1">
      <alignment vertical="center" textRotation="255"/>
    </xf>
    <xf numFmtId="0" fontId="8" fillId="0" borderId="0" xfId="0" applyFont="1" applyAlignment="1">
      <alignment vertical="center" wrapText="1"/>
    </xf>
    <xf numFmtId="0" fontId="18" fillId="0" borderId="26" xfId="0" applyFont="1" applyBorder="1">
      <alignment vertical="center"/>
    </xf>
    <xf numFmtId="0" fontId="11" fillId="0" borderId="14" xfId="0" applyFont="1" applyBorder="1">
      <alignment vertical="center"/>
    </xf>
    <xf numFmtId="0" fontId="11" fillId="0" borderId="15" xfId="0" applyFont="1" applyBorder="1">
      <alignment vertical="center"/>
    </xf>
    <xf numFmtId="0" fontId="21" fillId="0" borderId="17" xfId="0" applyFont="1" applyBorder="1">
      <alignment vertical="center"/>
    </xf>
    <xf numFmtId="0" fontId="22" fillId="0" borderId="18" xfId="0" applyFont="1" applyBorder="1">
      <alignment vertical="center"/>
    </xf>
    <xf numFmtId="0" fontId="11" fillId="0" borderId="20" xfId="0" applyFont="1" applyBorder="1">
      <alignment vertical="center"/>
    </xf>
    <xf numFmtId="0" fontId="21" fillId="0" borderId="26" xfId="0" applyFont="1" applyBorder="1">
      <alignment vertical="center"/>
    </xf>
    <xf numFmtId="0" fontId="21" fillId="0" borderId="22" xfId="0" applyFont="1" applyBorder="1">
      <alignment vertical="center"/>
    </xf>
    <xf numFmtId="0" fontId="21" fillId="0" borderId="15" xfId="0" applyFont="1" applyBorder="1">
      <alignment vertical="center"/>
    </xf>
    <xf numFmtId="0" fontId="21" fillId="0" borderId="14" xfId="0" applyFont="1" applyBorder="1">
      <alignment vertical="center"/>
    </xf>
    <xf numFmtId="0" fontId="22" fillId="0" borderId="24" xfId="0" applyFont="1" applyBorder="1">
      <alignment vertical="center"/>
    </xf>
    <xf numFmtId="0" fontId="12" fillId="0" borderId="21" xfId="0" applyFont="1" applyBorder="1">
      <alignment vertical="center"/>
    </xf>
    <xf numFmtId="0" fontId="13" fillId="2" borderId="0" xfId="0" applyFont="1" applyFill="1" applyAlignment="1">
      <alignment horizontal="center" vertical="center"/>
    </xf>
    <xf numFmtId="38" fontId="15" fillId="2" borderId="0" xfId="1" applyFont="1" applyFill="1" applyAlignment="1">
      <alignment vertical="center"/>
    </xf>
    <xf numFmtId="38" fontId="17" fillId="0" borderId="0" xfId="1" applyFont="1" applyBorder="1" applyAlignment="1">
      <alignment vertical="center"/>
    </xf>
    <xf numFmtId="0" fontId="17" fillId="0" borderId="0" xfId="0" applyFont="1">
      <alignment vertical="center"/>
    </xf>
    <xf numFmtId="0" fontId="0" fillId="0" borderId="18" xfId="0" applyBorder="1" applyAlignment="1">
      <alignment vertical="center" textRotation="91"/>
    </xf>
    <xf numFmtId="0" fontId="8" fillId="0" borderId="0" xfId="0" applyFont="1" applyAlignment="1">
      <alignment vertical="top" wrapText="1"/>
    </xf>
    <xf numFmtId="0" fontId="0" fillId="0" borderId="12" xfId="0" applyBorder="1" applyAlignment="1">
      <alignment vertical="center" textRotation="91"/>
    </xf>
    <xf numFmtId="0" fontId="0" fillId="3" borderId="12" xfId="0" applyFill="1" applyBorder="1" applyAlignment="1">
      <alignment horizontal="left" vertical="center"/>
    </xf>
    <xf numFmtId="0" fontId="0" fillId="3" borderId="12" xfId="0" applyFill="1" applyBorder="1">
      <alignment vertical="center"/>
    </xf>
    <xf numFmtId="0" fontId="23" fillId="3" borderId="12" xfId="0" applyFont="1" applyFill="1" applyBorder="1">
      <alignment vertical="center"/>
    </xf>
    <xf numFmtId="0" fontId="0" fillId="4" borderId="12" xfId="0" applyFill="1" applyBorder="1">
      <alignment vertical="center"/>
    </xf>
    <xf numFmtId="0" fontId="0" fillId="0" borderId="29" xfId="0" applyBorder="1" applyAlignment="1">
      <alignment horizontal="center" vertical="center"/>
    </xf>
    <xf numFmtId="0" fontId="0" fillId="0" borderId="12" xfId="0" applyBorder="1" applyAlignment="1">
      <alignment horizontal="center" vertical="center"/>
    </xf>
    <xf numFmtId="0" fontId="24" fillId="0" borderId="0" xfId="0" applyFont="1">
      <alignment vertical="center"/>
    </xf>
    <xf numFmtId="0" fontId="5" fillId="0" borderId="14" xfId="0" applyFont="1" applyBorder="1">
      <alignment vertical="center"/>
    </xf>
    <xf numFmtId="0" fontId="25" fillId="0" borderId="0" xfId="0" applyFont="1">
      <alignment vertical="center"/>
    </xf>
    <xf numFmtId="0" fontId="0" fillId="0" borderId="0" xfId="0" applyAlignment="1">
      <alignment horizontal="center" vertical="center"/>
    </xf>
    <xf numFmtId="0" fontId="0" fillId="0" borderId="0" xfId="0" applyAlignment="1">
      <alignment vertical="center" textRotation="91"/>
    </xf>
    <xf numFmtId="179" fontId="0" fillId="0" borderId="12" xfId="0" applyNumberFormat="1" applyBorder="1">
      <alignment vertical="center"/>
    </xf>
    <xf numFmtId="0" fontId="23" fillId="0" borderId="0" xfId="0" applyFont="1">
      <alignment vertical="center"/>
    </xf>
    <xf numFmtId="0" fontId="26" fillId="0" borderId="0" xfId="0" applyFont="1">
      <alignment vertical="center"/>
    </xf>
    <xf numFmtId="177" fontId="23" fillId="0" borderId="0" xfId="0" applyNumberFormat="1" applyFont="1">
      <alignment vertical="center"/>
    </xf>
    <xf numFmtId="3" fontId="18" fillId="0" borderId="16" xfId="0" applyNumberFormat="1" applyFont="1" applyBorder="1">
      <alignment vertical="center"/>
    </xf>
    <xf numFmtId="3" fontId="18" fillId="0" borderId="19" xfId="0" applyNumberFormat="1" applyFont="1" applyBorder="1">
      <alignment vertical="center"/>
    </xf>
    <xf numFmtId="3" fontId="18" fillId="0" borderId="23" xfId="0" applyNumberFormat="1" applyFont="1" applyBorder="1">
      <alignment vertical="center"/>
    </xf>
    <xf numFmtId="38" fontId="12" fillId="0" borderId="21" xfId="1" applyFont="1" applyBorder="1">
      <alignment vertical="center"/>
    </xf>
    <xf numFmtId="0" fontId="3" fillId="0" borderId="15" xfId="0" applyFont="1" applyBorder="1">
      <alignment vertical="center"/>
    </xf>
    <xf numFmtId="0" fontId="3" fillId="0" borderId="0" xfId="0" applyFont="1">
      <alignment vertical="center"/>
    </xf>
    <xf numFmtId="0" fontId="27" fillId="3" borderId="12" xfId="0" applyFont="1" applyFill="1" applyBorder="1">
      <alignment vertical="center"/>
    </xf>
    <xf numFmtId="0" fontId="3" fillId="0" borderId="12" xfId="0" applyFont="1" applyBorder="1" applyAlignment="1">
      <alignment horizontal="center" vertical="center"/>
    </xf>
    <xf numFmtId="38" fontId="18" fillId="0" borderId="23" xfId="1" applyFont="1" applyBorder="1">
      <alignment vertical="center"/>
    </xf>
    <xf numFmtId="38" fontId="18" fillId="0" borderId="16" xfId="1" applyFont="1" applyBorder="1">
      <alignment vertical="center"/>
    </xf>
    <xf numFmtId="38" fontId="18" fillId="0" borderId="26" xfId="1" applyFont="1" applyBorder="1">
      <alignment vertical="center"/>
    </xf>
    <xf numFmtId="38" fontId="18" fillId="0" borderId="19" xfId="1" applyFont="1" applyBorder="1">
      <alignment vertical="center"/>
    </xf>
    <xf numFmtId="38" fontId="9" fillId="0" borderId="0" xfId="1" applyFont="1">
      <alignment vertical="center"/>
    </xf>
    <xf numFmtId="38" fontId="11" fillId="0" borderId="15" xfId="1" applyFont="1" applyBorder="1">
      <alignment vertical="center"/>
    </xf>
    <xf numFmtId="38" fontId="21" fillId="0" borderId="15" xfId="1" applyFont="1" applyBorder="1">
      <alignment vertical="center"/>
    </xf>
    <xf numFmtId="38" fontId="21" fillId="0" borderId="14" xfId="1" applyFont="1" applyBorder="1">
      <alignment vertical="center"/>
    </xf>
    <xf numFmtId="38" fontId="21" fillId="0" borderId="22" xfId="1" applyFont="1" applyBorder="1">
      <alignment vertical="center"/>
    </xf>
    <xf numFmtId="38" fontId="22" fillId="0" borderId="24" xfId="1" applyFont="1" applyBorder="1">
      <alignment vertical="center"/>
    </xf>
    <xf numFmtId="38" fontId="18" fillId="0" borderId="24" xfId="1" applyFont="1" applyBorder="1">
      <alignment vertical="center"/>
    </xf>
    <xf numFmtId="38" fontId="19" fillId="0" borderId="18" xfId="1" applyFont="1" applyBorder="1">
      <alignment vertical="center"/>
    </xf>
    <xf numFmtId="38" fontId="22" fillId="0" borderId="18" xfId="1" applyFont="1" applyBorder="1">
      <alignment vertical="center"/>
    </xf>
    <xf numFmtId="38" fontId="18" fillId="0" borderId="16" xfId="1" applyFont="1" applyFill="1" applyBorder="1">
      <alignment vertical="center"/>
    </xf>
    <xf numFmtId="58" fontId="0" fillId="0" borderId="0" xfId="0" applyNumberFormat="1">
      <alignment vertical="center"/>
    </xf>
    <xf numFmtId="58" fontId="12" fillId="0" borderId="0" xfId="0" applyNumberFormat="1" applyFont="1">
      <alignment vertical="center"/>
    </xf>
    <xf numFmtId="58" fontId="11" fillId="0" borderId="15" xfId="0" applyNumberFormat="1" applyFont="1" applyBorder="1">
      <alignment vertical="center"/>
    </xf>
    <xf numFmtId="58" fontId="0" fillId="0" borderId="12" xfId="0" applyNumberFormat="1" applyBorder="1" applyAlignment="1">
      <alignment horizontal="center" vertical="center"/>
    </xf>
    <xf numFmtId="0" fontId="0" fillId="3" borderId="27" xfId="0" applyFill="1" applyBorder="1" applyAlignment="1">
      <alignment horizontal="center" vertical="center"/>
    </xf>
    <xf numFmtId="0" fontId="0" fillId="3" borderId="28" xfId="0" applyFill="1" applyBorder="1" applyAlignment="1">
      <alignment horizontal="center" vertical="center"/>
    </xf>
    <xf numFmtId="0" fontId="0" fillId="4" borderId="27" xfId="0" applyFill="1" applyBorder="1" applyAlignment="1">
      <alignment horizontal="center" vertical="center"/>
    </xf>
    <xf numFmtId="0" fontId="0" fillId="4" borderId="28" xfId="0" applyFill="1" applyBorder="1" applyAlignment="1">
      <alignment horizontal="center" vertical="center"/>
    </xf>
    <xf numFmtId="0" fontId="4" fillId="0" borderId="22" xfId="0" applyFont="1" applyBorder="1" applyAlignment="1">
      <alignment horizontal="center" vertical="center"/>
    </xf>
    <xf numFmtId="0" fontId="11" fillId="0" borderId="24" xfId="0" applyFont="1" applyBorder="1" applyAlignment="1">
      <alignment horizontal="center" vertical="center"/>
    </xf>
    <xf numFmtId="0" fontId="11" fillId="0" borderId="23" xfId="0" applyFont="1" applyBorder="1" applyAlignment="1">
      <alignment horizontal="center" vertical="center"/>
    </xf>
    <xf numFmtId="58" fontId="11" fillId="0" borderId="22" xfId="0" applyNumberFormat="1" applyFont="1" applyBorder="1" applyAlignment="1">
      <alignment horizontal="center" vertical="center"/>
    </xf>
    <xf numFmtId="0" fontId="6" fillId="0" borderId="22" xfId="0" applyFont="1" applyBorder="1" applyAlignment="1">
      <alignment horizontal="center" vertical="center"/>
    </xf>
    <xf numFmtId="0" fontId="6" fillId="0" borderId="24" xfId="0" applyFont="1" applyBorder="1" applyAlignment="1">
      <alignment horizontal="center" vertical="center"/>
    </xf>
    <xf numFmtId="0" fontId="6" fillId="0" borderId="23" xfId="0" applyFont="1" applyBorder="1" applyAlignment="1">
      <alignment horizontal="center" vertical="center"/>
    </xf>
    <xf numFmtId="0" fontId="0" fillId="0" borderId="0" xfId="0" applyAlignment="1">
      <alignment horizontal="center" vertical="center"/>
    </xf>
    <xf numFmtId="0" fontId="8" fillId="0" borderId="0" xfId="0" applyFont="1" applyAlignment="1">
      <alignment horizontal="right" vertical="center"/>
    </xf>
    <xf numFmtId="0" fontId="0" fillId="0" borderId="0" xfId="0" applyAlignment="1">
      <alignment horizontal="left" vertical="center"/>
    </xf>
    <xf numFmtId="0" fontId="20" fillId="0" borderId="0" xfId="0" applyFont="1" applyAlignment="1">
      <alignment horizontal="left" vertical="center" wrapText="1"/>
    </xf>
    <xf numFmtId="0" fontId="8" fillId="0" borderId="0" xfId="0" applyFont="1" applyAlignment="1">
      <alignment horizontal="left" vertical="top" wrapText="1"/>
    </xf>
    <xf numFmtId="0" fontId="11" fillId="0" borderId="22" xfId="0" applyFont="1" applyBorder="1" applyAlignment="1">
      <alignment horizontal="center" vertical="center"/>
    </xf>
    <xf numFmtId="0" fontId="3" fillId="0" borderId="22" xfId="0" applyFont="1" applyBorder="1" applyAlignment="1">
      <alignment horizontal="center" vertical="center"/>
    </xf>
    <xf numFmtId="0" fontId="5" fillId="0" borderId="22" xfId="0" applyFont="1" applyBorder="1" applyAlignment="1">
      <alignment horizontal="center" vertical="center"/>
    </xf>
    <xf numFmtId="58" fontId="2" fillId="0" borderId="22" xfId="0" applyNumberFormat="1" applyFont="1"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14" fillId="0" borderId="0" xfId="0" applyFont="1" applyAlignment="1">
      <alignment horizontal="center" vertical="center"/>
    </xf>
    <xf numFmtId="0" fontId="8" fillId="0" borderId="1" xfId="0" applyFont="1" applyBorder="1" applyAlignment="1">
      <alignment horizontal="center" vertical="center" textRotation="255"/>
    </xf>
    <xf numFmtId="0" fontId="9" fillId="0" borderId="2" xfId="0" applyFont="1" applyBorder="1" applyAlignment="1">
      <alignment horizontal="center" vertical="center" textRotation="255"/>
    </xf>
    <xf numFmtId="0" fontId="9" fillId="0" borderId="3" xfId="0" applyFont="1" applyBorder="1" applyAlignment="1">
      <alignment horizontal="center" vertical="center" textRotation="255"/>
    </xf>
    <xf numFmtId="0" fontId="3" fillId="0" borderId="1" xfId="0" applyFont="1" applyBorder="1" applyAlignment="1">
      <alignment horizontal="center" vertical="center" textRotation="255" wrapText="1"/>
    </xf>
    <xf numFmtId="0" fontId="12" fillId="0" borderId="8" xfId="0" applyFont="1" applyBorder="1" applyAlignment="1">
      <alignment horizontal="center" vertical="center" textRotation="255" wrapText="1"/>
    </xf>
    <xf numFmtId="0" fontId="12" fillId="0" borderId="7" xfId="0" applyFont="1" applyBorder="1" applyAlignment="1">
      <alignment horizontal="center" vertical="center" textRotation="255" wrapText="1"/>
    </xf>
    <xf numFmtId="0" fontId="3" fillId="0" borderId="5" xfId="0" applyFont="1" applyBorder="1" applyAlignment="1">
      <alignment horizontal="center" vertical="center"/>
    </xf>
    <xf numFmtId="0" fontId="12" fillId="0" borderId="6" xfId="0" applyFont="1" applyBorder="1" applyAlignment="1">
      <alignment horizontal="center" vertical="center"/>
    </xf>
    <xf numFmtId="0" fontId="12" fillId="0" borderId="4" xfId="0" applyFont="1" applyBorder="1" applyAlignment="1">
      <alignment horizontal="center" vertical="center"/>
    </xf>
    <xf numFmtId="0" fontId="11" fillId="0" borderId="5" xfId="0" applyFont="1" applyBorder="1" applyAlignment="1">
      <alignment horizontal="center" vertical="center" textRotation="255" wrapText="1"/>
    </xf>
    <xf numFmtId="38" fontId="16" fillId="0" borderId="0" xfId="1" applyFont="1" applyAlignment="1">
      <alignment horizontal="center" vertical="center"/>
    </xf>
    <xf numFmtId="58" fontId="1" fillId="0" borderId="22" xfId="0" applyNumberFormat="1" applyFont="1" applyBorder="1" applyAlignment="1">
      <alignment horizontal="center" vertical="center"/>
    </xf>
  </cellXfs>
  <cellStyles count="2">
    <cellStyle name="桁区切り" xfId="1" builtinId="6"/>
    <cellStyle name="標準" xfId="0" builtinId="0"/>
  </cellStyles>
  <dxfs count="0"/>
  <tableStyles count="0" defaultTableStyle="TableStyleMedium2" defaultPivotStyle="PivotStyleLight16"/>
  <colors>
    <mruColors>
      <color rgb="FFF8CB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65"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drawing1.xml><?xml version="1.0" encoding="utf-8"?>
<xdr:wsDr xmlns:xdr="http://schemas.openxmlformats.org/drawingml/2006/spreadsheetDrawing" xmlns:a="http://schemas.openxmlformats.org/drawingml/2006/main">
  <xdr:twoCellAnchor>
    <xdr:from>
      <xdr:col>9</xdr:col>
      <xdr:colOff>647700</xdr:colOff>
      <xdr:row>32</xdr:row>
      <xdr:rowOff>219075</xdr:rowOff>
    </xdr:from>
    <xdr:to>
      <xdr:col>11</xdr:col>
      <xdr:colOff>876300</xdr:colOff>
      <xdr:row>37</xdr:row>
      <xdr:rowOff>190500</xdr:rowOff>
    </xdr:to>
    <xdr:sp macro="" textlink="">
      <xdr:nvSpPr>
        <xdr:cNvPr id="2" name="角丸四角形吹き出し 1">
          <a:extLst>
            <a:ext uri="{FF2B5EF4-FFF2-40B4-BE49-F238E27FC236}">
              <a16:creationId xmlns:a16="http://schemas.microsoft.com/office/drawing/2014/main" id="{00000000-0008-0000-0400-000002000000}"/>
            </a:ext>
          </a:extLst>
        </xdr:cNvPr>
        <xdr:cNvSpPr/>
      </xdr:nvSpPr>
      <xdr:spPr>
        <a:xfrm>
          <a:off x="9105900" y="9077325"/>
          <a:ext cx="1771650" cy="1228725"/>
        </a:xfrm>
        <a:prstGeom prst="wedgeRoundRectCallout">
          <a:avLst>
            <a:gd name="adj1" fmla="val -83196"/>
            <a:gd name="adj2" fmla="val -104008"/>
            <a:gd name="adj3" fmla="val 16667"/>
          </a:avLst>
        </a:prstGeom>
        <a:solidFill>
          <a:srgbClr val="F8CBAD"/>
        </a:solidFill>
        <a:ln w="127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t>当月費用算定額、合計額は自動で入力される（関数が入っているのでさわらない）</a:t>
          </a:r>
        </a:p>
      </xdr:txBody>
    </xdr:sp>
    <xdr:clientData/>
  </xdr:twoCellAnchor>
  <xdr:twoCellAnchor>
    <xdr:from>
      <xdr:col>9</xdr:col>
      <xdr:colOff>590550</xdr:colOff>
      <xdr:row>39</xdr:row>
      <xdr:rowOff>171449</xdr:rowOff>
    </xdr:from>
    <xdr:to>
      <xdr:col>11</xdr:col>
      <xdr:colOff>819150</xdr:colOff>
      <xdr:row>45</xdr:row>
      <xdr:rowOff>114300</xdr:rowOff>
    </xdr:to>
    <xdr:sp macro="" textlink="">
      <xdr:nvSpPr>
        <xdr:cNvPr id="3" name="角丸四角形吹き出し 2">
          <a:extLst>
            <a:ext uri="{FF2B5EF4-FFF2-40B4-BE49-F238E27FC236}">
              <a16:creationId xmlns:a16="http://schemas.microsoft.com/office/drawing/2014/main" id="{00000000-0008-0000-0400-000003000000}"/>
            </a:ext>
          </a:extLst>
        </xdr:cNvPr>
        <xdr:cNvSpPr/>
      </xdr:nvSpPr>
      <xdr:spPr>
        <a:xfrm>
          <a:off x="9048750" y="10744199"/>
          <a:ext cx="1771650" cy="1400176"/>
        </a:xfrm>
        <a:prstGeom prst="wedgeRoundRectCallout">
          <a:avLst>
            <a:gd name="adj1" fmla="val -82659"/>
            <a:gd name="adj2" fmla="val -17063"/>
            <a:gd name="adj3" fmla="val 16667"/>
          </a:avLst>
        </a:prstGeom>
        <a:solidFill>
          <a:srgbClr val="F8CBAD"/>
        </a:solidFill>
        <a:ln w="127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t>算定額と実費算定額のうち低い方が自動で入力される（関数が入っているのでさわらない）</a:t>
          </a:r>
        </a:p>
      </xdr:txBody>
    </xdr:sp>
    <xdr:clientData/>
  </xdr:twoCellAnchor>
  <xdr:twoCellAnchor>
    <xdr:from>
      <xdr:col>2</xdr:col>
      <xdr:colOff>66675</xdr:colOff>
      <xdr:row>9</xdr:row>
      <xdr:rowOff>85724</xdr:rowOff>
    </xdr:from>
    <xdr:to>
      <xdr:col>3</xdr:col>
      <xdr:colOff>1162050</xdr:colOff>
      <xdr:row>13</xdr:row>
      <xdr:rowOff>142874</xdr:rowOff>
    </xdr:to>
    <xdr:sp macro="" textlink="">
      <xdr:nvSpPr>
        <xdr:cNvPr id="4" name="角丸四角形吹き出し 3">
          <a:extLst>
            <a:ext uri="{FF2B5EF4-FFF2-40B4-BE49-F238E27FC236}">
              <a16:creationId xmlns:a16="http://schemas.microsoft.com/office/drawing/2014/main" id="{00000000-0008-0000-0400-000004000000}"/>
            </a:ext>
          </a:extLst>
        </xdr:cNvPr>
        <xdr:cNvSpPr/>
      </xdr:nvSpPr>
      <xdr:spPr>
        <a:xfrm>
          <a:off x="1085850" y="2705099"/>
          <a:ext cx="1771650" cy="1209675"/>
        </a:xfrm>
        <a:prstGeom prst="wedgeRoundRectCallout">
          <a:avLst>
            <a:gd name="adj1" fmla="val -37497"/>
            <a:gd name="adj2" fmla="val -115212"/>
            <a:gd name="adj3" fmla="val 16667"/>
          </a:avLst>
        </a:prstGeom>
        <a:solidFill>
          <a:srgbClr val="F8CBAD"/>
        </a:solidFill>
        <a:ln w="127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t>対象者が児童でない場合は不要なのでＢ７セルとＤ７セルは削除してもよい</a:t>
          </a:r>
        </a:p>
      </xdr:txBody>
    </xdr:sp>
    <xdr:clientData/>
  </xdr:twoCellAnchor>
  <xdr:twoCellAnchor>
    <xdr:from>
      <xdr:col>4</xdr:col>
      <xdr:colOff>352425</xdr:colOff>
      <xdr:row>1</xdr:row>
      <xdr:rowOff>228601</xdr:rowOff>
    </xdr:from>
    <xdr:to>
      <xdr:col>6</xdr:col>
      <xdr:colOff>104775</xdr:colOff>
      <xdr:row>7</xdr:row>
      <xdr:rowOff>142876</xdr:rowOff>
    </xdr:to>
    <xdr:sp macro="" textlink="">
      <xdr:nvSpPr>
        <xdr:cNvPr id="5" name="角丸四角形吹き出し 4">
          <a:extLst>
            <a:ext uri="{FF2B5EF4-FFF2-40B4-BE49-F238E27FC236}">
              <a16:creationId xmlns:a16="http://schemas.microsoft.com/office/drawing/2014/main" id="{00000000-0008-0000-0400-000005000000}"/>
            </a:ext>
          </a:extLst>
        </xdr:cNvPr>
        <xdr:cNvSpPr/>
      </xdr:nvSpPr>
      <xdr:spPr>
        <a:xfrm>
          <a:off x="3381375" y="466726"/>
          <a:ext cx="1771650" cy="1676400"/>
        </a:xfrm>
        <a:prstGeom prst="wedgeRoundRectCallout">
          <a:avLst>
            <a:gd name="adj1" fmla="val -67067"/>
            <a:gd name="adj2" fmla="val -36222"/>
            <a:gd name="adj3" fmla="val 16667"/>
          </a:avLst>
        </a:prstGeom>
        <a:solidFill>
          <a:srgbClr val="F8CBAD"/>
        </a:solidFill>
        <a:ln w="127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t>受給者の住所、氏名、受給者番号、児童氏名は、Ｌ列に入力した受給者番号に該当する対象者の受給者情報から自動で入力</a:t>
          </a:r>
        </a:p>
      </xdr:txBody>
    </xdr:sp>
    <xdr:clientData/>
  </xdr:twoCellAnchor>
  <xdr:twoCellAnchor>
    <xdr:from>
      <xdr:col>7</xdr:col>
      <xdr:colOff>600074</xdr:colOff>
      <xdr:row>4</xdr:row>
      <xdr:rowOff>190501</xdr:rowOff>
    </xdr:from>
    <xdr:to>
      <xdr:col>8</xdr:col>
      <xdr:colOff>1847849</xdr:colOff>
      <xdr:row>7</xdr:row>
      <xdr:rowOff>228601</xdr:rowOff>
    </xdr:to>
    <xdr:sp macro="" textlink="">
      <xdr:nvSpPr>
        <xdr:cNvPr id="6" name="角丸四角形吹き出し 5">
          <a:extLst>
            <a:ext uri="{FF2B5EF4-FFF2-40B4-BE49-F238E27FC236}">
              <a16:creationId xmlns:a16="http://schemas.microsoft.com/office/drawing/2014/main" id="{00000000-0008-0000-0400-000006000000}"/>
            </a:ext>
          </a:extLst>
        </xdr:cNvPr>
        <xdr:cNvSpPr/>
      </xdr:nvSpPr>
      <xdr:spPr>
        <a:xfrm>
          <a:off x="6524624" y="1276351"/>
          <a:ext cx="1933575" cy="952500"/>
        </a:xfrm>
        <a:prstGeom prst="wedgeRoundRectCallout">
          <a:avLst>
            <a:gd name="adj1" fmla="val 28094"/>
            <a:gd name="adj2" fmla="val 94985"/>
            <a:gd name="adj3" fmla="val 16667"/>
          </a:avLst>
        </a:prstGeom>
        <a:solidFill>
          <a:srgbClr val="F8CBAD"/>
        </a:solidFill>
        <a:ln w="127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t>「発行日」</a:t>
          </a:r>
          <a:endParaRPr kumimoji="1" lang="en-US" altLang="ja-JP" sz="1100"/>
        </a:p>
        <a:p>
          <a:pPr algn="l"/>
          <a:r>
            <a:rPr kumimoji="1" lang="ja-JP" altLang="en-US" sz="1100"/>
            <a:t>Ｌ３セルに入力した発行日が自動で入力される</a:t>
          </a:r>
        </a:p>
      </xdr:txBody>
    </xdr:sp>
    <xdr:clientData/>
  </xdr:twoCellAnchor>
  <xdr:twoCellAnchor>
    <xdr:from>
      <xdr:col>4</xdr:col>
      <xdr:colOff>0</xdr:colOff>
      <xdr:row>14</xdr:row>
      <xdr:rowOff>0</xdr:rowOff>
    </xdr:from>
    <xdr:to>
      <xdr:col>5</xdr:col>
      <xdr:colOff>781050</xdr:colOff>
      <xdr:row>17</xdr:row>
      <xdr:rowOff>295275</xdr:rowOff>
    </xdr:to>
    <xdr:sp macro="" textlink="">
      <xdr:nvSpPr>
        <xdr:cNvPr id="7" name="角丸四角形吹き出し 6">
          <a:extLst>
            <a:ext uri="{FF2B5EF4-FFF2-40B4-BE49-F238E27FC236}">
              <a16:creationId xmlns:a16="http://schemas.microsoft.com/office/drawing/2014/main" id="{00000000-0008-0000-0400-000007000000}"/>
            </a:ext>
          </a:extLst>
        </xdr:cNvPr>
        <xdr:cNvSpPr/>
      </xdr:nvSpPr>
      <xdr:spPr>
        <a:xfrm>
          <a:off x="3028950" y="4076700"/>
          <a:ext cx="1771650" cy="1209675"/>
        </a:xfrm>
        <a:prstGeom prst="wedgeRoundRectCallout">
          <a:avLst>
            <a:gd name="adj1" fmla="val 58202"/>
            <a:gd name="adj2" fmla="val -75842"/>
            <a:gd name="adj3" fmla="val 16667"/>
          </a:avLst>
        </a:prstGeom>
        <a:solidFill>
          <a:srgbClr val="F8CBAD"/>
        </a:solidFill>
        <a:ln w="127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t>事業者、事業所名、代表者職氏名、電話、</a:t>
          </a:r>
          <a:r>
            <a:rPr kumimoji="1" lang="en-US" altLang="ja-JP" sz="1100"/>
            <a:t>FAX</a:t>
          </a:r>
          <a:r>
            <a:rPr kumimoji="1" lang="ja-JP" altLang="en-US" sz="1100"/>
            <a:t>は、事業者情報から自動で入力される</a:t>
          </a:r>
        </a:p>
      </xdr:txBody>
    </xdr:sp>
    <xdr:clientData/>
  </xdr:twoCellAnchor>
  <xdr:twoCellAnchor>
    <xdr:from>
      <xdr:col>8</xdr:col>
      <xdr:colOff>1228725</xdr:colOff>
      <xdr:row>19</xdr:row>
      <xdr:rowOff>238126</xdr:rowOff>
    </xdr:from>
    <xdr:to>
      <xdr:col>10</xdr:col>
      <xdr:colOff>695325</xdr:colOff>
      <xdr:row>24</xdr:row>
      <xdr:rowOff>114301</xdr:rowOff>
    </xdr:to>
    <xdr:sp macro="" textlink="">
      <xdr:nvSpPr>
        <xdr:cNvPr id="8" name="角丸四角形吹き出し 7">
          <a:extLst>
            <a:ext uri="{FF2B5EF4-FFF2-40B4-BE49-F238E27FC236}">
              <a16:creationId xmlns:a16="http://schemas.microsoft.com/office/drawing/2014/main" id="{00000000-0008-0000-0400-000008000000}"/>
            </a:ext>
          </a:extLst>
        </xdr:cNvPr>
        <xdr:cNvSpPr/>
      </xdr:nvSpPr>
      <xdr:spPr>
        <a:xfrm>
          <a:off x="7839075" y="5772151"/>
          <a:ext cx="2000250" cy="1162050"/>
        </a:xfrm>
        <a:prstGeom prst="wedgeRoundRectCallout">
          <a:avLst>
            <a:gd name="adj1" fmla="val -111676"/>
            <a:gd name="adj2" fmla="val 5564"/>
            <a:gd name="adj3" fmla="val 16667"/>
          </a:avLst>
        </a:prstGeom>
        <a:solidFill>
          <a:srgbClr val="F8CBAD"/>
        </a:solidFill>
        <a:ln w="127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t>「代理受領額」</a:t>
          </a:r>
        </a:p>
        <a:p>
          <a:pPr algn="l"/>
          <a:r>
            <a:rPr kumimoji="1" lang="ja-JP" altLang="en-US" sz="1100"/>
            <a:t>Ｆ２３セルには数式が入っているため触らない（自動で入力される）</a:t>
          </a:r>
          <a:endParaRPr kumimoji="1" lang="en-US" altLang="ja-JP" sz="1100"/>
        </a:p>
      </xdr:txBody>
    </xdr:sp>
    <xdr:clientData/>
  </xdr:twoCellAnchor>
  <xdr:twoCellAnchor>
    <xdr:from>
      <xdr:col>10</xdr:col>
      <xdr:colOff>0</xdr:colOff>
      <xdr:row>5</xdr:row>
      <xdr:rowOff>0</xdr:rowOff>
    </xdr:from>
    <xdr:to>
      <xdr:col>11</xdr:col>
      <xdr:colOff>914400</xdr:colOff>
      <xdr:row>7</xdr:row>
      <xdr:rowOff>66675</xdr:rowOff>
    </xdr:to>
    <xdr:sp macro="" textlink="">
      <xdr:nvSpPr>
        <xdr:cNvPr id="10" name="角丸四角形吹き出し 9">
          <a:extLst>
            <a:ext uri="{FF2B5EF4-FFF2-40B4-BE49-F238E27FC236}">
              <a16:creationId xmlns:a16="http://schemas.microsoft.com/office/drawing/2014/main" id="{00000000-0008-0000-0400-00000A000000}"/>
            </a:ext>
          </a:extLst>
        </xdr:cNvPr>
        <xdr:cNvSpPr/>
      </xdr:nvSpPr>
      <xdr:spPr>
        <a:xfrm>
          <a:off x="9144000" y="1390650"/>
          <a:ext cx="1771650" cy="676275"/>
        </a:xfrm>
        <a:prstGeom prst="wedgeRoundRectCallout">
          <a:avLst>
            <a:gd name="adj1" fmla="val 41535"/>
            <a:gd name="adj2" fmla="val -95015"/>
            <a:gd name="adj3" fmla="val 16667"/>
          </a:avLst>
        </a:prstGeom>
        <a:solidFill>
          <a:srgbClr val="F8CBAD"/>
        </a:solidFill>
        <a:ln w="127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t>〇〇〇〇／〇〇／〇〇の形式で入力</a:t>
          </a:r>
        </a:p>
      </xdr:txBody>
    </xdr:sp>
    <xdr:clientData/>
  </xdr:twoCellAnchor>
  <xdr:twoCellAnchor>
    <xdr:from>
      <xdr:col>4</xdr:col>
      <xdr:colOff>209550</xdr:colOff>
      <xdr:row>26</xdr:row>
      <xdr:rowOff>133350</xdr:rowOff>
    </xdr:from>
    <xdr:to>
      <xdr:col>6</xdr:col>
      <xdr:colOff>190500</xdr:colOff>
      <xdr:row>31</xdr:row>
      <xdr:rowOff>114300</xdr:rowOff>
    </xdr:to>
    <xdr:sp macro="" textlink="">
      <xdr:nvSpPr>
        <xdr:cNvPr id="11" name="角丸四角形吹き出し 10">
          <a:extLst>
            <a:ext uri="{FF2B5EF4-FFF2-40B4-BE49-F238E27FC236}">
              <a16:creationId xmlns:a16="http://schemas.microsoft.com/office/drawing/2014/main" id="{00000000-0008-0000-0400-00000B000000}"/>
            </a:ext>
          </a:extLst>
        </xdr:cNvPr>
        <xdr:cNvSpPr/>
      </xdr:nvSpPr>
      <xdr:spPr>
        <a:xfrm>
          <a:off x="3238500" y="7505700"/>
          <a:ext cx="2000250" cy="1219200"/>
        </a:xfrm>
        <a:prstGeom prst="wedgeRoundRectCallout">
          <a:avLst>
            <a:gd name="adj1" fmla="val -67866"/>
            <a:gd name="adj2" fmla="val -57717"/>
            <a:gd name="adj3" fmla="val 16667"/>
          </a:avLst>
        </a:prstGeom>
        <a:solidFill>
          <a:srgbClr val="F8CBAD"/>
        </a:solidFill>
        <a:ln w="127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t>サービス名は、提供情報入力シートから自動入力される（関数が入っているため触らない）</a:t>
          </a:r>
          <a:endParaRPr kumimoji="1" lang="en-US" altLang="ja-JP"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H32"/>
  <sheetViews>
    <sheetView zoomScaleNormal="100" workbookViewId="0">
      <selection activeCell="L33" sqref="L33"/>
    </sheetView>
  </sheetViews>
  <sheetFormatPr baseColWidth="10" defaultColWidth="8.83203125" defaultRowHeight="18"/>
  <cols>
    <col min="2" max="2" width="19.1640625" bestFit="1" customWidth="1"/>
    <col min="3" max="3" width="42" customWidth="1"/>
    <col min="5" max="6" width="9" customWidth="1"/>
  </cols>
  <sheetData>
    <row r="2" spans="2:3">
      <c r="B2" t="s">
        <v>0</v>
      </c>
    </row>
    <row r="3" spans="2:3">
      <c r="B3" s="7" t="s">
        <v>1</v>
      </c>
      <c r="C3" s="7" t="s">
        <v>2</v>
      </c>
    </row>
    <row r="4" spans="2:3">
      <c r="B4" s="7" t="s">
        <v>3</v>
      </c>
      <c r="C4" s="36" t="s">
        <v>4</v>
      </c>
    </row>
    <row r="5" spans="2:3">
      <c r="B5" s="7" t="s">
        <v>5</v>
      </c>
      <c r="C5" s="7" t="s">
        <v>6</v>
      </c>
    </row>
    <row r="6" spans="2:3">
      <c r="B6" s="7" t="s">
        <v>7</v>
      </c>
      <c r="C6" s="7" t="s">
        <v>8</v>
      </c>
    </row>
    <row r="7" spans="2:3">
      <c r="B7" s="7" t="s">
        <v>9</v>
      </c>
      <c r="C7" s="35" t="s">
        <v>10</v>
      </c>
    </row>
    <row r="8" spans="2:3">
      <c r="B8" s="7" t="s">
        <v>11</v>
      </c>
      <c r="C8" s="35" t="s">
        <v>12</v>
      </c>
    </row>
    <row r="25" spans="3:8" ht="20">
      <c r="C25" s="98">
        <v>10</v>
      </c>
      <c r="D25" s="98" t="s">
        <v>173</v>
      </c>
    </row>
    <row r="29" spans="3:8">
      <c r="E29" s="115">
        <v>46010</v>
      </c>
    </row>
    <row r="31" spans="3:8">
      <c r="H31">
        <f>H30</f>
        <v>0</v>
      </c>
    </row>
    <row r="32" spans="3:8">
      <c r="H32">
        <v>0</v>
      </c>
    </row>
  </sheetData>
  <phoneticPr fontId="7"/>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M52"/>
  <sheetViews>
    <sheetView topLeftCell="A12" zoomScale="136" zoomScaleNormal="80" workbookViewId="0">
      <selection activeCell="L33" sqref="L33"/>
    </sheetView>
  </sheetViews>
  <sheetFormatPr baseColWidth="10" defaultColWidth="8.83203125" defaultRowHeight="18"/>
  <cols>
    <col min="1" max="1" width="9.6640625" customWidth="1"/>
    <col min="2" max="2" width="13" bestFit="1" customWidth="1"/>
    <col min="3" max="3" width="18.6640625" customWidth="1"/>
    <col min="4" max="4" width="5.6640625" customWidth="1"/>
    <col min="5" max="5" width="10" customWidth="1"/>
    <col min="6" max="6" width="13.5" customWidth="1"/>
    <col min="7" max="7" width="17.33203125" customWidth="1"/>
    <col min="8" max="8" width="18.6640625" customWidth="1"/>
    <col min="9" max="12" width="21.6640625" customWidth="1"/>
  </cols>
  <sheetData>
    <row r="1" spans="1:13">
      <c r="B1" s="119" t="s">
        <v>103</v>
      </c>
      <c r="C1" s="120"/>
      <c r="D1" s="82"/>
      <c r="E1" s="82"/>
      <c r="F1" s="121" t="s">
        <v>104</v>
      </c>
      <c r="G1" s="122"/>
    </row>
    <row r="2" spans="1:13">
      <c r="A2" s="7" t="s">
        <v>141</v>
      </c>
      <c r="B2" s="79" t="s">
        <v>13</v>
      </c>
      <c r="C2" s="79" t="s">
        <v>14</v>
      </c>
      <c r="D2" s="7"/>
      <c r="E2" s="82" t="s">
        <v>141</v>
      </c>
      <c r="F2" s="81" t="s">
        <v>13</v>
      </c>
      <c r="G2" s="81" t="s">
        <v>14</v>
      </c>
      <c r="H2" s="7"/>
      <c r="I2" s="7"/>
      <c r="J2" s="7"/>
      <c r="K2" s="7"/>
      <c r="L2" s="7"/>
    </row>
    <row r="3" spans="1:13">
      <c r="A3" s="83" t="s">
        <v>148</v>
      </c>
      <c r="B3" s="9">
        <v>2000006458</v>
      </c>
      <c r="C3" s="79" t="s">
        <v>92</v>
      </c>
      <c r="D3" s="83">
        <v>1</v>
      </c>
      <c r="E3" s="83" t="s">
        <v>133</v>
      </c>
      <c r="F3" s="89">
        <v>3000021745</v>
      </c>
      <c r="G3" s="81" t="s">
        <v>105</v>
      </c>
      <c r="H3" s="7"/>
      <c r="I3" s="7"/>
      <c r="J3" s="7"/>
      <c r="K3" s="7"/>
      <c r="L3" s="7"/>
      <c r="M3" s="5"/>
    </row>
    <row r="4" spans="1:13">
      <c r="A4" s="83" t="s">
        <v>131</v>
      </c>
      <c r="B4" s="9">
        <v>55268411</v>
      </c>
      <c r="C4" s="79" t="s">
        <v>93</v>
      </c>
      <c r="D4" s="83">
        <v>2</v>
      </c>
      <c r="E4" s="83" t="s">
        <v>147</v>
      </c>
      <c r="F4" s="9">
        <v>2000009122</v>
      </c>
      <c r="G4" s="81" t="s">
        <v>106</v>
      </c>
      <c r="H4" s="7"/>
      <c r="I4" s="7"/>
      <c r="J4" s="7"/>
      <c r="K4" s="7"/>
      <c r="L4" s="7"/>
    </row>
    <row r="5" spans="1:13">
      <c r="A5" s="83" t="s">
        <v>157</v>
      </c>
      <c r="B5" s="9">
        <v>3000005243</v>
      </c>
      <c r="C5" s="79" t="s">
        <v>94</v>
      </c>
      <c r="D5" s="83">
        <v>3</v>
      </c>
      <c r="E5" s="83" t="s">
        <v>133</v>
      </c>
      <c r="F5" s="9">
        <v>3000013817</v>
      </c>
      <c r="G5" s="81" t="s">
        <v>107</v>
      </c>
      <c r="H5" s="7"/>
      <c r="I5" s="7"/>
      <c r="J5" s="7"/>
      <c r="K5" s="7"/>
      <c r="L5" s="7"/>
    </row>
    <row r="6" spans="1:13">
      <c r="A6" s="83" t="s">
        <v>133</v>
      </c>
      <c r="B6" s="9">
        <v>3000012793</v>
      </c>
      <c r="C6" s="79" t="s">
        <v>95</v>
      </c>
      <c r="D6" s="83">
        <v>4</v>
      </c>
      <c r="E6" s="83" t="s">
        <v>148</v>
      </c>
      <c r="F6" s="9">
        <v>491191</v>
      </c>
      <c r="G6" s="81" t="s">
        <v>108</v>
      </c>
      <c r="H6" s="7"/>
      <c r="I6" s="7"/>
      <c r="J6" s="7"/>
      <c r="K6" s="7"/>
      <c r="L6" s="7"/>
    </row>
    <row r="7" spans="1:13">
      <c r="A7" s="83" t="s">
        <v>146</v>
      </c>
      <c r="B7" s="9">
        <v>778563</v>
      </c>
      <c r="C7" s="79" t="s">
        <v>96</v>
      </c>
      <c r="D7" s="83">
        <v>5</v>
      </c>
      <c r="E7" s="83" t="s">
        <v>133</v>
      </c>
      <c r="F7" s="9">
        <v>3000005029</v>
      </c>
      <c r="G7" s="81" t="s">
        <v>109</v>
      </c>
      <c r="H7" s="7"/>
      <c r="I7" s="7"/>
      <c r="J7" s="7"/>
      <c r="K7" s="7"/>
      <c r="L7" s="7"/>
    </row>
    <row r="8" spans="1:13">
      <c r="A8" s="83" t="s">
        <v>144</v>
      </c>
      <c r="B8" s="9">
        <v>3000011357</v>
      </c>
      <c r="C8" s="79" t="s">
        <v>97</v>
      </c>
      <c r="D8" s="83">
        <v>6</v>
      </c>
      <c r="E8" s="83" t="s">
        <v>158</v>
      </c>
      <c r="F8" s="9">
        <v>2294000812</v>
      </c>
      <c r="G8" s="81" t="s">
        <v>110</v>
      </c>
      <c r="H8" s="7"/>
      <c r="I8" s="7"/>
      <c r="J8" s="7"/>
      <c r="K8" s="7"/>
      <c r="L8" s="7"/>
    </row>
    <row r="9" spans="1:13">
      <c r="A9" s="83" t="s">
        <v>159</v>
      </c>
      <c r="B9" s="9">
        <v>6000008646</v>
      </c>
      <c r="C9" s="79" t="s">
        <v>98</v>
      </c>
      <c r="D9" s="83">
        <v>7</v>
      </c>
      <c r="E9" s="83" t="s">
        <v>133</v>
      </c>
      <c r="F9" s="9">
        <v>3000015655</v>
      </c>
      <c r="G9" s="81" t="s">
        <v>111</v>
      </c>
      <c r="H9" s="7"/>
      <c r="I9" s="7"/>
      <c r="J9" s="7"/>
      <c r="K9" s="7"/>
      <c r="L9" s="7"/>
    </row>
    <row r="10" spans="1:13">
      <c r="A10" s="83" t="s">
        <v>155</v>
      </c>
      <c r="B10" s="9">
        <v>1180</v>
      </c>
      <c r="C10" s="79" t="s">
        <v>99</v>
      </c>
      <c r="D10" s="83">
        <v>8</v>
      </c>
      <c r="E10" s="83" t="s">
        <v>159</v>
      </c>
      <c r="F10" s="9">
        <v>3000006423</v>
      </c>
      <c r="G10" s="81" t="s">
        <v>112</v>
      </c>
      <c r="H10" s="7"/>
      <c r="I10" s="7"/>
      <c r="J10" s="7"/>
      <c r="K10" s="7"/>
      <c r="L10" s="7"/>
    </row>
    <row r="11" spans="1:13">
      <c r="A11" s="83" t="s">
        <v>134</v>
      </c>
      <c r="B11" s="9">
        <v>122663</v>
      </c>
      <c r="C11" s="80" t="s">
        <v>79</v>
      </c>
      <c r="D11" s="83">
        <v>9</v>
      </c>
      <c r="E11" s="83" t="s">
        <v>133</v>
      </c>
      <c r="F11" s="9">
        <v>3000000954</v>
      </c>
      <c r="G11" s="81" t="s">
        <v>113</v>
      </c>
      <c r="H11" s="7"/>
      <c r="I11" s="7"/>
      <c r="J11" s="7"/>
      <c r="K11" s="7"/>
      <c r="L11" s="7"/>
    </row>
    <row r="12" spans="1:13">
      <c r="A12" s="83" t="s">
        <v>161</v>
      </c>
      <c r="B12" s="9">
        <v>2419519208</v>
      </c>
      <c r="C12" s="80" t="s">
        <v>77</v>
      </c>
      <c r="D12" s="83">
        <v>10</v>
      </c>
      <c r="E12" s="83" t="s">
        <v>151</v>
      </c>
      <c r="F12" s="9">
        <v>1826</v>
      </c>
      <c r="G12" s="81" t="s">
        <v>114</v>
      </c>
      <c r="H12" s="7"/>
      <c r="I12" s="7"/>
      <c r="J12" s="7"/>
      <c r="K12" s="7"/>
      <c r="L12" s="7"/>
    </row>
    <row r="13" spans="1:13">
      <c r="A13" s="83" t="s">
        <v>142</v>
      </c>
      <c r="B13" s="9">
        <v>2000004818</v>
      </c>
      <c r="C13" s="80" t="s">
        <v>78</v>
      </c>
      <c r="D13" s="83">
        <v>11</v>
      </c>
      <c r="E13" s="83" t="s">
        <v>156</v>
      </c>
      <c r="F13" s="9">
        <v>6536</v>
      </c>
      <c r="G13" s="81" t="s">
        <v>115</v>
      </c>
      <c r="H13" s="7"/>
      <c r="I13" s="7"/>
      <c r="J13" s="7"/>
      <c r="K13" s="7"/>
      <c r="L13" s="7"/>
    </row>
    <row r="14" spans="1:13">
      <c r="A14" s="83" t="s">
        <v>149</v>
      </c>
      <c r="B14" s="9">
        <v>9018171323</v>
      </c>
      <c r="C14" s="80" t="s">
        <v>80</v>
      </c>
      <c r="D14" s="83">
        <v>12</v>
      </c>
      <c r="E14" s="83" t="s">
        <v>133</v>
      </c>
      <c r="F14" s="9">
        <v>3000012348</v>
      </c>
      <c r="G14" s="81" t="s">
        <v>116</v>
      </c>
      <c r="H14" s="7"/>
      <c r="I14" s="7"/>
      <c r="J14" s="7"/>
      <c r="K14" s="7"/>
      <c r="L14" s="7"/>
    </row>
    <row r="15" spans="1:13">
      <c r="A15" s="83" t="s">
        <v>133</v>
      </c>
      <c r="B15" s="9">
        <v>3000000962</v>
      </c>
      <c r="C15" s="80" t="s">
        <v>81</v>
      </c>
      <c r="D15" s="83">
        <v>13</v>
      </c>
      <c r="E15" s="83" t="s">
        <v>152</v>
      </c>
      <c r="F15" s="9">
        <v>2319928210</v>
      </c>
      <c r="G15" s="81" t="s">
        <v>117</v>
      </c>
      <c r="H15" s="7"/>
      <c r="I15" s="7"/>
      <c r="J15" s="7"/>
      <c r="K15" s="7"/>
      <c r="L15" s="7"/>
    </row>
    <row r="16" spans="1:13">
      <c r="A16" s="83" t="s">
        <v>133</v>
      </c>
      <c r="B16" s="9">
        <v>3000019590</v>
      </c>
      <c r="C16" s="80" t="s">
        <v>82</v>
      </c>
      <c r="D16" s="83">
        <v>14</v>
      </c>
      <c r="E16" s="83" t="s">
        <v>154</v>
      </c>
      <c r="F16" s="9">
        <v>2196</v>
      </c>
      <c r="G16" s="81" t="s">
        <v>118</v>
      </c>
      <c r="H16" s="7"/>
      <c r="I16" s="7"/>
      <c r="J16" s="7"/>
      <c r="K16" s="7"/>
      <c r="L16" s="7"/>
    </row>
    <row r="17" spans="1:12">
      <c r="A17" s="83" t="s">
        <v>147</v>
      </c>
      <c r="B17" s="9">
        <v>2000009338</v>
      </c>
      <c r="C17" s="80" t="s">
        <v>83</v>
      </c>
      <c r="D17" s="83">
        <v>15</v>
      </c>
      <c r="E17" s="83" t="s">
        <v>133</v>
      </c>
      <c r="F17" s="9">
        <v>3000000962</v>
      </c>
      <c r="G17" s="81" t="s">
        <v>119</v>
      </c>
      <c r="H17" s="7"/>
      <c r="I17" s="7"/>
      <c r="J17" s="7"/>
      <c r="K17" s="7"/>
      <c r="L17" s="7"/>
    </row>
    <row r="18" spans="1:12">
      <c r="A18" s="83" t="s">
        <v>148</v>
      </c>
      <c r="B18" s="9">
        <v>2000009072</v>
      </c>
      <c r="C18" s="80" t="s">
        <v>84</v>
      </c>
      <c r="D18" s="83">
        <v>16</v>
      </c>
      <c r="E18" s="83" t="s">
        <v>155</v>
      </c>
      <c r="F18" s="9">
        <v>1000006104</v>
      </c>
      <c r="G18" s="81" t="s">
        <v>120</v>
      </c>
      <c r="H18" s="7"/>
      <c r="I18" s="7"/>
      <c r="J18" s="7"/>
      <c r="K18" s="7"/>
      <c r="L18" s="7"/>
    </row>
    <row r="19" spans="1:12">
      <c r="A19" s="83" t="s">
        <v>162</v>
      </c>
      <c r="B19" s="9">
        <v>6000001708</v>
      </c>
      <c r="C19" s="80" t="s">
        <v>85</v>
      </c>
      <c r="D19" s="83">
        <v>17</v>
      </c>
      <c r="E19" s="83" t="s">
        <v>133</v>
      </c>
      <c r="F19" s="9">
        <v>3000016489</v>
      </c>
      <c r="G19" s="81" t="s">
        <v>121</v>
      </c>
      <c r="H19" s="7"/>
      <c r="I19" s="7"/>
      <c r="J19" s="7"/>
      <c r="K19" s="7"/>
      <c r="L19" s="7"/>
    </row>
    <row r="20" spans="1:12">
      <c r="A20" s="83" t="s">
        <v>133</v>
      </c>
      <c r="B20" s="9">
        <v>3000010052</v>
      </c>
      <c r="C20" s="80" t="s">
        <v>86</v>
      </c>
      <c r="D20" s="83">
        <v>18</v>
      </c>
      <c r="E20" s="83" t="s">
        <v>133</v>
      </c>
      <c r="F20" s="9">
        <v>3000015572</v>
      </c>
      <c r="G20" s="81" t="s">
        <v>122</v>
      </c>
      <c r="H20" s="7"/>
      <c r="I20" s="7"/>
      <c r="J20" s="7"/>
      <c r="K20" s="7"/>
      <c r="L20" s="7"/>
    </row>
    <row r="21" spans="1:12">
      <c r="A21" s="83" t="s">
        <v>157</v>
      </c>
      <c r="B21" s="9">
        <v>3000000236</v>
      </c>
      <c r="C21" s="80" t="s">
        <v>87</v>
      </c>
      <c r="D21" s="83">
        <v>19</v>
      </c>
      <c r="E21" s="83" t="s">
        <v>133</v>
      </c>
      <c r="F21" s="9">
        <v>3000011571</v>
      </c>
      <c r="G21" s="81" t="s">
        <v>123</v>
      </c>
      <c r="H21" s="7"/>
      <c r="I21" s="7"/>
      <c r="J21" s="7"/>
      <c r="K21" s="7"/>
      <c r="L21" s="7"/>
    </row>
    <row r="22" spans="1:12">
      <c r="A22" s="83" t="s">
        <v>159</v>
      </c>
      <c r="B22" s="9">
        <v>3000004972</v>
      </c>
      <c r="C22" s="80" t="s">
        <v>88</v>
      </c>
      <c r="D22" s="83">
        <v>20</v>
      </c>
      <c r="E22" s="83" t="s">
        <v>133</v>
      </c>
      <c r="F22" s="9">
        <v>3000005722</v>
      </c>
      <c r="G22" s="81" t="s">
        <v>124</v>
      </c>
      <c r="H22" s="7"/>
      <c r="I22" s="7"/>
      <c r="J22" s="7"/>
      <c r="K22" s="7"/>
      <c r="L22" s="7"/>
    </row>
    <row r="23" spans="1:12">
      <c r="A23" s="83" t="s">
        <v>133</v>
      </c>
      <c r="B23" s="9">
        <v>3000019079</v>
      </c>
      <c r="C23" s="80" t="s">
        <v>89</v>
      </c>
      <c r="D23" s="83">
        <v>21</v>
      </c>
      <c r="E23" s="83" t="s">
        <v>148</v>
      </c>
      <c r="F23" s="89">
        <v>2000009072</v>
      </c>
      <c r="G23" s="81" t="s">
        <v>125</v>
      </c>
      <c r="H23" s="7"/>
      <c r="I23" s="7"/>
      <c r="J23" s="7"/>
      <c r="K23" s="7"/>
      <c r="L23" s="7"/>
    </row>
    <row r="24" spans="1:12">
      <c r="A24" s="83" t="s">
        <v>133</v>
      </c>
      <c r="B24" s="9">
        <v>3000021323</v>
      </c>
      <c r="C24" s="80" t="s">
        <v>90</v>
      </c>
      <c r="D24" s="83">
        <v>22</v>
      </c>
      <c r="E24" s="83" t="s">
        <v>133</v>
      </c>
      <c r="F24" s="9">
        <v>3000007249</v>
      </c>
      <c r="G24" s="81" t="s">
        <v>126</v>
      </c>
      <c r="H24" s="7"/>
      <c r="I24" s="7"/>
      <c r="J24" s="7"/>
      <c r="K24" s="7"/>
      <c r="L24" s="7"/>
    </row>
    <row r="25" spans="1:12" ht="20">
      <c r="A25" s="83" t="s">
        <v>133</v>
      </c>
      <c r="B25" s="9">
        <v>3000012348</v>
      </c>
      <c r="C25" s="99">
        <v>10</v>
      </c>
      <c r="D25" s="100">
        <v>23</v>
      </c>
      <c r="E25" s="83" t="s">
        <v>148</v>
      </c>
      <c r="F25" s="9">
        <v>3807311</v>
      </c>
      <c r="G25" s="81" t="s">
        <v>127</v>
      </c>
      <c r="H25" s="7"/>
      <c r="I25" s="7"/>
      <c r="J25" s="7"/>
      <c r="K25" s="7"/>
      <c r="L25" s="7"/>
    </row>
    <row r="26" spans="1:12">
      <c r="A26" s="83" t="s">
        <v>160</v>
      </c>
      <c r="B26" s="9">
        <v>2420469211</v>
      </c>
      <c r="C26" s="80" t="s">
        <v>91</v>
      </c>
      <c r="D26" s="83">
        <v>24</v>
      </c>
      <c r="E26" s="83" t="s">
        <v>133</v>
      </c>
      <c r="F26" s="9">
        <v>3000023410</v>
      </c>
      <c r="G26" s="81" t="s">
        <v>128</v>
      </c>
      <c r="H26" s="7"/>
      <c r="I26" s="7"/>
      <c r="J26" s="7"/>
      <c r="K26" s="7"/>
      <c r="L26" s="7"/>
    </row>
    <row r="27" spans="1:12">
      <c r="A27" s="83" t="s">
        <v>148</v>
      </c>
      <c r="B27" s="9">
        <v>1503457</v>
      </c>
      <c r="C27" s="78" t="s">
        <v>102</v>
      </c>
      <c r="D27" s="83">
        <v>25</v>
      </c>
      <c r="E27" s="83" t="s">
        <v>153</v>
      </c>
      <c r="F27" s="9">
        <v>2319115982</v>
      </c>
      <c r="G27" s="81" t="s">
        <v>129</v>
      </c>
      <c r="H27" s="7"/>
      <c r="I27" s="7"/>
      <c r="J27" s="7"/>
      <c r="K27" s="7"/>
      <c r="L27" s="7"/>
    </row>
    <row r="28" spans="1:12">
      <c r="A28" s="83" t="s">
        <v>133</v>
      </c>
      <c r="B28" s="9">
        <v>3000008965</v>
      </c>
      <c r="C28" s="78" t="s">
        <v>100</v>
      </c>
      <c r="D28" s="83">
        <v>26</v>
      </c>
      <c r="E28" s="83" t="s">
        <v>157</v>
      </c>
      <c r="F28" s="9">
        <v>3000005896</v>
      </c>
      <c r="G28" s="81" t="s">
        <v>130</v>
      </c>
      <c r="H28" s="7"/>
      <c r="I28" s="7"/>
      <c r="J28" s="7"/>
      <c r="K28" s="7"/>
      <c r="L28" s="7"/>
    </row>
    <row r="29" spans="1:12">
      <c r="A29" s="83" t="s">
        <v>148</v>
      </c>
      <c r="B29" s="9">
        <v>2000008363</v>
      </c>
      <c r="C29" s="78" t="s">
        <v>101</v>
      </c>
      <c r="D29" s="83">
        <v>27</v>
      </c>
      <c r="E29" s="118">
        <v>46010</v>
      </c>
      <c r="F29" s="9">
        <v>3000015572</v>
      </c>
      <c r="G29" s="81" t="s">
        <v>143</v>
      </c>
      <c r="H29" s="7"/>
      <c r="I29" s="7"/>
      <c r="J29" s="7"/>
      <c r="K29" s="7"/>
      <c r="L29" s="7"/>
    </row>
    <row r="30" spans="1:12">
      <c r="A30" s="83" t="s">
        <v>133</v>
      </c>
      <c r="B30" s="9">
        <v>3000021919</v>
      </c>
      <c r="C30" s="79" t="s">
        <v>145</v>
      </c>
      <c r="D30" s="83">
        <v>28</v>
      </c>
      <c r="E30" s="83" t="s">
        <v>144</v>
      </c>
      <c r="F30" s="89">
        <v>3000006563</v>
      </c>
      <c r="G30" s="81" t="s">
        <v>150</v>
      </c>
      <c r="H30" s="7"/>
      <c r="I30" s="7"/>
      <c r="J30" s="7"/>
      <c r="K30" s="7"/>
      <c r="L30" s="7"/>
    </row>
    <row r="31" spans="1:12">
      <c r="A31" s="83"/>
      <c r="B31" s="9"/>
      <c r="C31" s="79"/>
      <c r="D31" s="83">
        <v>29</v>
      </c>
      <c r="E31" s="83"/>
      <c r="F31" s="89"/>
      <c r="G31" s="81"/>
      <c r="H31" s="7">
        <f>H30</f>
        <v>0</v>
      </c>
      <c r="I31" s="7"/>
      <c r="J31" s="7"/>
      <c r="K31" s="7"/>
      <c r="L31" s="7"/>
    </row>
    <row r="32" spans="1:12">
      <c r="A32" s="83"/>
      <c r="B32" s="9"/>
      <c r="C32" s="79"/>
      <c r="D32" s="83">
        <v>30</v>
      </c>
      <c r="E32" s="83"/>
      <c r="F32" s="89"/>
      <c r="G32" s="81"/>
      <c r="H32" s="7">
        <v>0</v>
      </c>
      <c r="I32" s="7"/>
      <c r="J32" s="7"/>
      <c r="K32" s="7"/>
      <c r="L32" s="7"/>
    </row>
    <row r="33" spans="1:12">
      <c r="A33" s="83"/>
      <c r="B33" s="9"/>
      <c r="C33" s="79"/>
      <c r="D33" s="83">
        <v>31</v>
      </c>
      <c r="E33" s="83"/>
      <c r="F33" s="89"/>
      <c r="G33" s="81"/>
      <c r="H33" s="7"/>
      <c r="I33" s="7"/>
      <c r="J33" s="7"/>
      <c r="K33" s="7"/>
      <c r="L33" s="7"/>
    </row>
    <row r="34" spans="1:12">
      <c r="A34" s="7"/>
      <c r="B34" s="9"/>
      <c r="C34" s="79"/>
      <c r="D34" s="83">
        <v>32</v>
      </c>
      <c r="E34" s="83"/>
      <c r="F34" s="89"/>
      <c r="G34" s="81"/>
      <c r="H34" s="7"/>
      <c r="I34" s="7"/>
      <c r="J34" s="7"/>
      <c r="K34" s="7"/>
      <c r="L34" s="7"/>
    </row>
    <row r="35" spans="1:12">
      <c r="A35" s="7"/>
      <c r="B35" s="9"/>
      <c r="C35" s="79"/>
      <c r="D35" s="83">
        <v>33</v>
      </c>
      <c r="E35" s="83"/>
      <c r="F35" s="89"/>
      <c r="G35" s="81"/>
      <c r="H35" s="7"/>
      <c r="I35" s="7"/>
      <c r="J35" s="7"/>
      <c r="K35" s="7"/>
      <c r="L35" s="7"/>
    </row>
    <row r="36" spans="1:12">
      <c r="B36" s="9"/>
      <c r="C36" s="7"/>
      <c r="D36" s="7"/>
      <c r="E36" s="7"/>
      <c r="F36" s="34"/>
      <c r="G36" s="7"/>
      <c r="H36" s="7"/>
      <c r="I36" s="7"/>
      <c r="J36" s="7"/>
      <c r="K36" s="7"/>
      <c r="L36" s="7"/>
    </row>
    <row r="37" spans="1:12">
      <c r="B37" s="9"/>
      <c r="C37" s="7"/>
      <c r="D37" s="7"/>
      <c r="E37" s="7"/>
      <c r="F37" s="34"/>
      <c r="G37" s="7"/>
      <c r="H37" s="7"/>
      <c r="I37" s="7"/>
      <c r="J37" s="7"/>
      <c r="K37" s="7"/>
      <c r="L37" s="7"/>
    </row>
    <row r="38" spans="1:12">
      <c r="B38" s="9"/>
      <c r="C38" s="7"/>
      <c r="D38" s="7"/>
      <c r="E38" s="7"/>
      <c r="F38" s="34"/>
      <c r="G38" s="7"/>
      <c r="H38" s="7"/>
      <c r="I38" s="7"/>
      <c r="J38" s="7"/>
      <c r="K38" s="7"/>
      <c r="L38" s="7"/>
    </row>
    <row r="39" spans="1:12">
      <c r="B39" s="9"/>
      <c r="C39" s="7"/>
      <c r="D39" s="7"/>
      <c r="E39" s="7"/>
      <c r="F39" s="34"/>
      <c r="G39" s="7"/>
      <c r="H39" s="7"/>
      <c r="I39" s="7"/>
      <c r="J39" s="7"/>
      <c r="K39" s="7"/>
      <c r="L39" s="7"/>
    </row>
    <row r="40" spans="1:12">
      <c r="B40" s="9"/>
      <c r="C40" s="7"/>
      <c r="D40" s="7"/>
      <c r="E40" s="7"/>
      <c r="F40" s="34"/>
      <c r="G40" s="7"/>
      <c r="H40" s="7"/>
      <c r="I40" s="7"/>
      <c r="J40" s="7"/>
      <c r="K40" s="7"/>
      <c r="L40" s="7"/>
    </row>
    <row r="41" spans="1:12">
      <c r="B41" s="9"/>
      <c r="C41" s="7"/>
      <c r="D41" s="7"/>
      <c r="E41" s="7"/>
      <c r="F41" s="34"/>
      <c r="G41" s="7"/>
      <c r="H41" s="7"/>
      <c r="I41" s="7"/>
      <c r="J41" s="7"/>
      <c r="K41" s="7"/>
      <c r="L41" s="7"/>
    </row>
    <row r="42" spans="1:12">
      <c r="B42" s="9"/>
      <c r="C42" s="7"/>
      <c r="D42" s="7"/>
      <c r="E42" s="7"/>
      <c r="F42" s="34"/>
      <c r="G42" s="7"/>
      <c r="H42" s="7"/>
      <c r="I42" s="7"/>
      <c r="J42" s="7"/>
      <c r="K42" s="7"/>
      <c r="L42" s="7"/>
    </row>
    <row r="43" spans="1:12">
      <c r="B43" s="9"/>
      <c r="C43" s="7"/>
      <c r="D43" s="7"/>
      <c r="E43" s="7"/>
      <c r="F43" s="34"/>
      <c r="G43" s="7"/>
      <c r="H43" s="7"/>
      <c r="I43" s="7"/>
      <c r="J43" s="7"/>
      <c r="K43" s="7"/>
      <c r="L43" s="7"/>
    </row>
    <row r="44" spans="1:12">
      <c r="B44" s="9"/>
      <c r="C44" s="7"/>
      <c r="D44" s="7"/>
      <c r="E44" s="7"/>
      <c r="F44" s="34"/>
      <c r="G44" s="7"/>
      <c r="H44" s="7"/>
      <c r="I44" s="7"/>
      <c r="J44" s="7"/>
      <c r="K44" s="7"/>
      <c r="L44" s="7"/>
    </row>
    <row r="45" spans="1:12">
      <c r="B45" s="9"/>
      <c r="C45" s="7"/>
      <c r="D45" s="7"/>
      <c r="E45" s="7"/>
      <c r="F45" s="34"/>
      <c r="G45" s="7"/>
      <c r="H45" s="7"/>
      <c r="I45" s="7"/>
      <c r="J45" s="7"/>
      <c r="K45" s="7"/>
      <c r="L45" s="7"/>
    </row>
    <row r="46" spans="1:12">
      <c r="B46" s="9"/>
      <c r="C46" s="7"/>
      <c r="D46" s="7"/>
      <c r="E46" s="7"/>
      <c r="F46" s="34"/>
      <c r="G46" s="7"/>
      <c r="H46" s="7"/>
      <c r="I46" s="7"/>
      <c r="J46" s="7"/>
      <c r="K46" s="7"/>
      <c r="L46" s="7"/>
    </row>
    <row r="47" spans="1:12">
      <c r="B47" s="9"/>
      <c r="C47" s="7"/>
      <c r="D47" s="7"/>
      <c r="E47" s="7"/>
      <c r="F47" s="34"/>
      <c r="G47" s="7"/>
      <c r="H47" s="7"/>
      <c r="I47" s="7"/>
      <c r="J47" s="7"/>
      <c r="K47" s="7"/>
      <c r="L47" s="7"/>
    </row>
    <row r="48" spans="1:12">
      <c r="B48" s="9"/>
      <c r="C48" s="7"/>
      <c r="D48" s="7"/>
      <c r="E48" s="7"/>
      <c r="F48" s="34"/>
      <c r="G48" s="7"/>
      <c r="H48" s="7"/>
      <c r="I48" s="7"/>
      <c r="J48" s="7"/>
      <c r="K48" s="7"/>
      <c r="L48" s="7"/>
    </row>
    <row r="49" spans="2:12">
      <c r="B49" s="9"/>
      <c r="C49" s="7"/>
      <c r="D49" s="7"/>
      <c r="E49" s="7"/>
      <c r="F49" s="34"/>
      <c r="G49" s="7"/>
      <c r="H49" s="7"/>
      <c r="I49" s="7"/>
      <c r="J49" s="7"/>
      <c r="K49" s="7"/>
      <c r="L49" s="7"/>
    </row>
    <row r="50" spans="2:12">
      <c r="B50" s="9"/>
      <c r="C50" s="7"/>
      <c r="D50" s="7"/>
      <c r="E50" s="7"/>
      <c r="F50" s="34"/>
      <c r="G50" s="7"/>
      <c r="H50" s="7"/>
      <c r="I50" s="7"/>
      <c r="J50" s="7"/>
      <c r="K50" s="7"/>
      <c r="L50" s="7"/>
    </row>
    <row r="51" spans="2:12">
      <c r="B51" s="9"/>
      <c r="C51" s="7"/>
      <c r="D51" s="7"/>
      <c r="E51" s="7"/>
      <c r="F51" s="34"/>
      <c r="G51" s="7"/>
      <c r="H51" s="7"/>
      <c r="I51" s="7"/>
      <c r="J51" s="7"/>
      <c r="K51" s="7"/>
      <c r="L51" s="7"/>
    </row>
    <row r="52" spans="2:12">
      <c r="B52" s="9"/>
      <c r="C52" s="7"/>
      <c r="D52" s="7"/>
      <c r="E52" s="7"/>
      <c r="F52" s="34"/>
      <c r="G52" s="7"/>
      <c r="H52" s="7"/>
      <c r="I52" s="7"/>
      <c r="J52" s="7"/>
      <c r="K52" s="7"/>
      <c r="L52" s="7"/>
    </row>
  </sheetData>
  <mergeCells count="2">
    <mergeCell ref="B1:C1"/>
    <mergeCell ref="F1:G1"/>
  </mergeCells>
  <phoneticPr fontId="7"/>
  <dataValidations count="1">
    <dataValidation type="whole" allowBlank="1" showInputMessage="1" showErrorMessage="1" sqref="B3:B52 F24:F29 F4:F22" xr:uid="{00000000-0002-0000-0100-000000000000}">
      <formula1>0</formula1>
      <formula2>9999999999</formula2>
    </dataValidation>
  </dataValidations>
  <pageMargins left="0.67" right="0.16" top="0.75" bottom="0.75" header="0.3" footer="0.3"/>
  <pageSetup paperSize="9" scale="61"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FBFD4-9878-C74A-A90F-BEBF3291F4DC}">
  <sheetPr>
    <tabColor theme="7"/>
    <pageSetUpPr fitToPage="1"/>
  </sheetPr>
  <dimension ref="B1:M45"/>
  <sheetViews>
    <sheetView topLeftCell="A12" zoomScaleNormal="100" workbookViewId="0">
      <selection activeCell="H32" sqref="H32"/>
    </sheetView>
  </sheetViews>
  <sheetFormatPr baseColWidth="10" defaultColWidth="8.83203125" defaultRowHeight="18"/>
  <cols>
    <col min="1" max="1" width="8.1640625" customWidth="1"/>
    <col min="2" max="2" width="4.33203125" customWidth="1"/>
    <col min="3" max="3" width="8.5" customWidth="1"/>
    <col min="4" max="4" width="17.1640625" customWidth="1"/>
    <col min="5" max="5" width="13.6640625" customWidth="1"/>
    <col min="6" max="6" width="17.1640625" customWidth="1"/>
    <col min="7" max="7" width="13.6640625" customWidth="1"/>
    <col min="8" max="8" width="17.1640625" customWidth="1"/>
    <col min="9" max="9" width="6.5" customWidth="1"/>
    <col min="10" max="10" width="6.6640625" customWidth="1"/>
    <col min="11" max="11" width="11.1640625" customWidth="1"/>
    <col min="12" max="12" width="6.6640625" customWidth="1"/>
    <col min="13" max="13" width="15.83203125" customWidth="1"/>
    <col min="14" max="14" width="17.6640625" customWidth="1"/>
    <col min="15" max="15" width="18.1640625" customWidth="1"/>
  </cols>
  <sheetData>
    <row r="1" spans="2:13">
      <c r="I1" s="10"/>
    </row>
    <row r="2" spans="2:13" ht="24">
      <c r="B2" s="1"/>
      <c r="G2" s="87"/>
      <c r="H2" s="88"/>
      <c r="I2" s="130"/>
      <c r="J2" s="130"/>
    </row>
    <row r="3" spans="2:13" ht="24" customHeight="1">
      <c r="B3" s="76"/>
      <c r="C3" s="76"/>
      <c r="D3" s="76"/>
      <c r="E3" s="76"/>
      <c r="G3" s="87"/>
      <c r="H3" s="88"/>
      <c r="I3" s="88"/>
    </row>
    <row r="4" spans="2:13" ht="18.75" customHeight="1">
      <c r="B4" s="76"/>
      <c r="C4" s="76"/>
      <c r="D4" s="76"/>
      <c r="E4" s="76"/>
    </row>
    <row r="5" spans="2:13" ht="24">
      <c r="B5" s="33"/>
      <c r="C5" s="33"/>
      <c r="D5" s="33"/>
    </row>
    <row r="6" spans="2:13" ht="45">
      <c r="B6" s="131"/>
      <c r="C6" s="131"/>
      <c r="D6" s="131"/>
      <c r="E6" s="1"/>
      <c r="F6" s="86" t="s">
        <v>137</v>
      </c>
    </row>
    <row r="7" spans="2:13" ht="24">
      <c r="B7" s="1" t="s">
        <v>20</v>
      </c>
      <c r="C7" s="12"/>
      <c r="D7" s="13">
        <f>受給者情報!B3</f>
        <v>2000006458</v>
      </c>
      <c r="E7" s="13"/>
    </row>
    <row r="8" spans="2:13" ht="24">
      <c r="B8" s="12" t="s">
        <v>21</v>
      </c>
      <c r="C8" s="12"/>
      <c r="D8" s="12" t="str">
        <f>受給者情報!C3</f>
        <v>岡田英樹</v>
      </c>
      <c r="E8" t="s">
        <v>41</v>
      </c>
    </row>
    <row r="12" spans="2:13" ht="31">
      <c r="E12" s="52" t="s">
        <v>22</v>
      </c>
      <c r="F12" s="52"/>
      <c r="G12" s="52"/>
    </row>
    <row r="13" spans="2:13" ht="24">
      <c r="I13" s="14"/>
      <c r="M13" s="37"/>
    </row>
    <row r="14" spans="2:13">
      <c r="M14" s="37"/>
    </row>
    <row r="15" spans="2:13" ht="24" customHeight="1">
      <c r="G15" s="132" t="s">
        <v>23</v>
      </c>
      <c r="H15" s="49" t="s">
        <v>24</v>
      </c>
      <c r="I15" s="49"/>
      <c r="M15" s="37"/>
    </row>
    <row r="16" spans="2:13" ht="24" customHeight="1">
      <c r="G16" s="132"/>
      <c r="H16" s="133" t="s">
        <v>25</v>
      </c>
      <c r="I16" s="133"/>
      <c r="J16" s="133"/>
      <c r="M16" s="37"/>
    </row>
    <row r="17" spans="2:13" ht="40.5" customHeight="1">
      <c r="D17" s="86"/>
      <c r="G17" s="50"/>
      <c r="H17" s="133" t="s">
        <v>27</v>
      </c>
      <c r="I17" s="133"/>
      <c r="J17" s="133"/>
      <c r="M17" s="37"/>
    </row>
    <row r="18" spans="2:13">
      <c r="G18" s="51" t="s">
        <v>28</v>
      </c>
      <c r="H18" s="51" t="str">
        <f>事業者情報!C5&amp;"　"&amp;事業者情報!C6</f>
        <v>代表取締役社長　澤田昌志</v>
      </c>
      <c r="M18" s="37"/>
    </row>
    <row r="19" spans="2:13">
      <c r="G19" s="51" t="s">
        <v>29</v>
      </c>
      <c r="H19" s="51" t="str">
        <f>事業者情報!C7&amp;""</f>
        <v>0566-63-6817</v>
      </c>
      <c r="M19" s="37"/>
    </row>
    <row r="20" spans="2:13">
      <c r="G20" s="51" t="s">
        <v>30</v>
      </c>
      <c r="H20" s="51" t="str">
        <f>事業者情報!C8&amp;""</f>
        <v>0566-63-6818</v>
      </c>
      <c r="M20" s="37"/>
    </row>
    <row r="21" spans="2:13">
      <c r="M21" s="37"/>
    </row>
    <row r="22" spans="2:13" ht="24" customHeight="1">
      <c r="B22" s="134" t="s">
        <v>135</v>
      </c>
      <c r="C22" s="134"/>
      <c r="D22" s="134"/>
      <c r="E22" s="134"/>
      <c r="F22" s="134"/>
      <c r="G22" s="134"/>
      <c r="H22" s="134"/>
      <c r="I22" s="134"/>
      <c r="M22" s="37"/>
    </row>
    <row r="23" spans="2:13" ht="24" customHeight="1">
      <c r="B23" s="134"/>
      <c r="C23" s="134"/>
      <c r="D23" s="134"/>
      <c r="E23" s="134"/>
      <c r="F23" s="134"/>
      <c r="G23" s="134"/>
      <c r="H23" s="134"/>
      <c r="I23" s="134"/>
      <c r="M23" s="37"/>
    </row>
    <row r="25" spans="2:13" ht="27">
      <c r="C25" s="98">
        <v>9</v>
      </c>
      <c r="D25" s="98" t="s">
        <v>173</v>
      </c>
      <c r="E25" s="71" t="s">
        <v>32</v>
      </c>
      <c r="F25" s="72">
        <f>H34</f>
        <v>314460</v>
      </c>
      <c r="G25" s="16" t="s">
        <v>33</v>
      </c>
    </row>
    <row r="27" spans="2:13" ht="24.75" customHeight="1">
      <c r="B27" s="55"/>
      <c r="C27" s="56"/>
      <c r="D27" s="64" t="s">
        <v>42</v>
      </c>
      <c r="E27" s="123" t="s">
        <v>148</v>
      </c>
      <c r="F27" s="124"/>
      <c r="G27" s="124"/>
      <c r="H27" s="125"/>
      <c r="I27" s="12"/>
    </row>
    <row r="28" spans="2:13" ht="24.75" customHeight="1">
      <c r="B28" s="55"/>
      <c r="C28" s="56"/>
      <c r="D28" s="85" t="s">
        <v>139</v>
      </c>
      <c r="E28" s="127" t="s">
        <v>140</v>
      </c>
      <c r="F28" s="128"/>
      <c r="G28" s="128"/>
      <c r="H28" s="129"/>
      <c r="I28" s="12"/>
    </row>
    <row r="29" spans="2:13" ht="24.75" customHeight="1">
      <c r="B29" s="57"/>
      <c r="C29" s="56"/>
      <c r="D29" s="60" t="s">
        <v>43</v>
      </c>
      <c r="E29" s="126">
        <v>45981</v>
      </c>
      <c r="F29" s="124"/>
      <c r="G29" s="124"/>
      <c r="H29" s="125"/>
      <c r="I29" s="53"/>
    </row>
    <row r="30" spans="2:13" ht="24.75" customHeight="1">
      <c r="B30" s="57"/>
      <c r="C30" s="56"/>
      <c r="D30" s="65" t="s">
        <v>44</v>
      </c>
      <c r="E30" s="97"/>
      <c r="F30" s="67"/>
      <c r="G30" s="45"/>
      <c r="H30" s="104">
        <v>304460</v>
      </c>
      <c r="I30" s="73" t="s">
        <v>45</v>
      </c>
    </row>
    <row r="31" spans="2:13" ht="24.75" customHeight="1">
      <c r="B31" s="57"/>
      <c r="C31" s="56"/>
      <c r="D31" s="62" t="s">
        <v>46</v>
      </c>
      <c r="E31" s="68" t="s">
        <v>35</v>
      </c>
      <c r="F31" s="67"/>
      <c r="G31" s="45"/>
      <c r="H31" s="101">
        <f>H30</f>
        <v>304460</v>
      </c>
      <c r="I31" s="74" t="s">
        <v>40</v>
      </c>
    </row>
    <row r="32" spans="2:13" ht="24.75" customHeight="1">
      <c r="B32" s="57"/>
      <c r="C32" s="56"/>
      <c r="D32" s="62"/>
      <c r="E32" s="68" t="s">
        <v>36</v>
      </c>
      <c r="F32" s="67"/>
      <c r="G32" s="45"/>
      <c r="H32" s="102">
        <v>0</v>
      </c>
      <c r="I32" s="74" t="s">
        <v>40</v>
      </c>
    </row>
    <row r="33" spans="2:10" ht="24.75" customHeight="1">
      <c r="B33" s="57"/>
      <c r="C33" s="56"/>
      <c r="D33" s="62"/>
      <c r="E33" s="66" t="s">
        <v>37</v>
      </c>
      <c r="F33" s="69"/>
      <c r="G33" s="43"/>
      <c r="H33" s="103">
        <v>10000</v>
      </c>
      <c r="I33" s="74" t="s">
        <v>40</v>
      </c>
    </row>
    <row r="34" spans="2:10" ht="24">
      <c r="B34" s="57"/>
      <c r="C34" s="56"/>
      <c r="D34" s="42"/>
      <c r="E34" s="38"/>
      <c r="F34" s="38"/>
      <c r="G34" s="63" t="s">
        <v>47</v>
      </c>
      <c r="H34" s="96">
        <f>SUM(H31-H32+H33)</f>
        <v>314460</v>
      </c>
      <c r="I34" s="74" t="s">
        <v>40</v>
      </c>
    </row>
    <row r="35" spans="2:10" ht="24">
      <c r="B35" s="57"/>
      <c r="C35" s="56"/>
      <c r="D35" s="12"/>
      <c r="E35" s="12"/>
      <c r="F35" s="12"/>
      <c r="G35" s="12"/>
      <c r="H35" s="105"/>
      <c r="I35" s="53"/>
    </row>
    <row r="36" spans="2:10" ht="24">
      <c r="B36" s="57"/>
      <c r="C36" s="56"/>
      <c r="D36" s="12"/>
      <c r="E36" s="12"/>
      <c r="F36" s="12"/>
      <c r="G36" s="12"/>
      <c r="H36" s="12"/>
      <c r="I36" s="12"/>
    </row>
    <row r="37" spans="2:10" ht="24">
      <c r="B37" s="57"/>
      <c r="C37" s="56"/>
      <c r="D37" s="12"/>
      <c r="E37" s="12"/>
      <c r="F37" s="12"/>
      <c r="G37" s="12"/>
      <c r="H37" s="12"/>
      <c r="I37" s="12"/>
    </row>
    <row r="38" spans="2:10" ht="24">
      <c r="B38" s="57"/>
      <c r="C38" s="56"/>
      <c r="D38" s="12"/>
      <c r="E38" s="12"/>
      <c r="F38" s="12"/>
      <c r="G38" s="12"/>
      <c r="H38" s="12"/>
      <c r="I38" s="54"/>
    </row>
    <row r="39" spans="2:10" s="11" customFormat="1" ht="20.25" customHeight="1">
      <c r="B39" s="57"/>
      <c r="C39" s="58"/>
      <c r="D39" s="12"/>
      <c r="E39" s="12"/>
      <c r="F39" s="12"/>
      <c r="G39" s="12"/>
      <c r="H39" s="12"/>
      <c r="I39" s="12"/>
      <c r="J39" s="18"/>
    </row>
    <row r="40" spans="2:10" s="11" customFormat="1" ht="20.25" customHeight="1">
      <c r="B40" s="57"/>
      <c r="C40" s="58"/>
      <c r="D40" s="12"/>
      <c r="E40" s="12"/>
      <c r="F40" s="12"/>
      <c r="G40" s="12"/>
      <c r="H40" s="12"/>
      <c r="I40" s="12"/>
    </row>
    <row r="41" spans="2:10" s="11" customFormat="1" ht="20.25" customHeight="1">
      <c r="B41" s="57"/>
      <c r="C41" s="58"/>
      <c r="D41" s="12"/>
      <c r="E41" s="12"/>
      <c r="F41" s="12"/>
      <c r="G41" s="12"/>
      <c r="H41" s="12"/>
      <c r="I41" s="12"/>
    </row>
    <row r="42" spans="2:10" s="11" customFormat="1" ht="20.25" customHeight="1">
      <c r="B42" s="57"/>
      <c r="C42" s="58"/>
      <c r="D42" s="12"/>
      <c r="E42" s="12"/>
      <c r="F42" s="12"/>
      <c r="G42" s="12"/>
      <c r="H42" s="12"/>
      <c r="I42" s="12"/>
    </row>
    <row r="43" spans="2:10" ht="24">
      <c r="B43" s="1"/>
      <c r="C43" s="1"/>
      <c r="D43" s="1"/>
      <c r="E43" s="1"/>
      <c r="F43" s="1"/>
      <c r="G43" s="12"/>
      <c r="H43" s="1"/>
      <c r="I43" s="12"/>
    </row>
    <row r="44" spans="2:10" ht="24">
      <c r="B44" s="12"/>
      <c r="C44" s="12"/>
      <c r="D44" s="12"/>
      <c r="E44" s="12"/>
      <c r="F44" s="12"/>
      <c r="G44" s="12"/>
      <c r="H44" s="12"/>
      <c r="I44" s="41"/>
    </row>
    <row r="45" spans="2:10" ht="24">
      <c r="B45" s="12"/>
      <c r="C45" s="12"/>
      <c r="D45" s="12"/>
      <c r="E45" s="12"/>
      <c r="F45" s="39"/>
      <c r="G45" s="39"/>
      <c r="H45" s="40"/>
      <c r="I45" s="39"/>
    </row>
  </sheetData>
  <mergeCells count="9">
    <mergeCell ref="E27:H27"/>
    <mergeCell ref="E29:H29"/>
    <mergeCell ref="E28:H28"/>
    <mergeCell ref="I2:J2"/>
    <mergeCell ref="B6:D6"/>
    <mergeCell ref="G15:G16"/>
    <mergeCell ref="H16:J16"/>
    <mergeCell ref="H17:J17"/>
    <mergeCell ref="B22:I23"/>
  </mergeCells>
  <phoneticPr fontId="7"/>
  <dataValidations count="1">
    <dataValidation allowBlank="1" showInputMessage="1" showErrorMessage="1" sqref="H2" xr:uid="{4C52C73B-03C4-6A47-8632-2A9538F84496}"/>
  </dataValidations>
  <pageMargins left="0.7" right="0.7" top="0.75" bottom="0.75" header="0.3" footer="0.3"/>
  <pageSetup paperSize="9" scale="71"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13541-D8FF-6044-99E4-63EB4E6E3E91}">
  <sheetPr codeName="Sheet4">
    <tabColor theme="7"/>
    <pageSetUpPr fitToPage="1"/>
  </sheetPr>
  <dimension ref="B1:M45"/>
  <sheetViews>
    <sheetView topLeftCell="A13" zoomScaleNormal="100" workbookViewId="0">
      <selection activeCell="L33" sqref="L33"/>
    </sheetView>
  </sheetViews>
  <sheetFormatPr baseColWidth="10" defaultColWidth="8.83203125" defaultRowHeight="18"/>
  <cols>
    <col min="1" max="1" width="8.1640625" customWidth="1"/>
    <col min="2" max="2" width="4.33203125" customWidth="1"/>
    <col min="3" max="3" width="8.5" customWidth="1"/>
    <col min="4" max="4" width="17.1640625" customWidth="1"/>
    <col min="5" max="5" width="13.6640625" customWidth="1"/>
    <col min="6" max="6" width="17.1640625" customWidth="1"/>
    <col min="7" max="7" width="13.6640625" customWidth="1"/>
    <col min="8" max="8" width="15.6640625" customWidth="1"/>
    <col min="9" max="9" width="6.5" customWidth="1"/>
    <col min="10" max="10" width="6.6640625" customWidth="1"/>
    <col min="11" max="11" width="11.1640625" customWidth="1"/>
    <col min="12" max="12" width="6.6640625" customWidth="1"/>
    <col min="13" max="13" width="15.83203125" customWidth="1"/>
    <col min="14" max="14" width="17.6640625" customWidth="1"/>
    <col min="15" max="15" width="18.1640625" customWidth="1"/>
  </cols>
  <sheetData>
    <row r="1" spans="2:13">
      <c r="I1" s="10"/>
    </row>
    <row r="2" spans="2:13" ht="24">
      <c r="B2" s="1"/>
      <c r="G2" s="87"/>
      <c r="H2" s="88"/>
      <c r="I2" s="130"/>
      <c r="J2" s="130"/>
    </row>
    <row r="3" spans="2:13" ht="24" customHeight="1">
      <c r="B3" s="76"/>
      <c r="C3" s="76"/>
      <c r="D3" s="76"/>
      <c r="E3" s="76"/>
      <c r="G3" s="87"/>
      <c r="H3" s="88"/>
      <c r="I3" s="88"/>
    </row>
    <row r="4" spans="2:13" ht="18.75" customHeight="1">
      <c r="B4" s="76"/>
      <c r="C4" s="76"/>
      <c r="D4" s="76"/>
      <c r="E4" s="76"/>
    </row>
    <row r="5" spans="2:13" ht="24">
      <c r="B5" s="33"/>
      <c r="C5" s="33"/>
      <c r="D5" s="33"/>
    </row>
    <row r="6" spans="2:13" ht="45">
      <c r="B6" s="131"/>
      <c r="C6" s="131"/>
      <c r="D6" s="131"/>
      <c r="E6" s="1"/>
      <c r="F6" s="86" t="s">
        <v>137</v>
      </c>
    </row>
    <row r="7" spans="2:13" ht="24">
      <c r="B7" s="1" t="s">
        <v>20</v>
      </c>
      <c r="C7" s="12"/>
      <c r="D7" s="13">
        <f>受給者情報!B4</f>
        <v>55268411</v>
      </c>
      <c r="E7" s="13"/>
    </row>
    <row r="8" spans="2:13" ht="24">
      <c r="B8" s="12" t="s">
        <v>21</v>
      </c>
      <c r="C8" s="12"/>
      <c r="D8" s="12" t="str">
        <f>受給者情報!C4</f>
        <v>植山　隆</v>
      </c>
      <c r="E8" t="s">
        <v>41</v>
      </c>
    </row>
    <row r="12" spans="2:13" ht="31">
      <c r="E12" s="52" t="s">
        <v>22</v>
      </c>
      <c r="F12" s="52"/>
      <c r="G12" s="52"/>
    </row>
    <row r="13" spans="2:13" ht="24">
      <c r="I13" s="14"/>
      <c r="M13" s="37"/>
    </row>
    <row r="14" spans="2:13">
      <c r="M14" s="37"/>
    </row>
    <row r="15" spans="2:13" ht="24" customHeight="1">
      <c r="G15" s="132" t="s">
        <v>23</v>
      </c>
      <c r="H15" s="49" t="s">
        <v>24</v>
      </c>
      <c r="I15" s="49"/>
      <c r="M15" s="37"/>
    </row>
    <row r="16" spans="2:13" ht="24" customHeight="1">
      <c r="G16" s="132"/>
      <c r="H16" s="133" t="s">
        <v>25</v>
      </c>
      <c r="I16" s="133"/>
      <c r="J16" s="133"/>
      <c r="M16" s="37"/>
    </row>
    <row r="17" spans="2:13" ht="40.5" customHeight="1">
      <c r="G17" s="50"/>
      <c r="H17" s="133" t="s">
        <v>27</v>
      </c>
      <c r="I17" s="133"/>
      <c r="J17" s="133"/>
      <c r="M17" s="37"/>
    </row>
    <row r="18" spans="2:13">
      <c r="G18" s="51" t="s">
        <v>28</v>
      </c>
      <c r="H18" s="51" t="str">
        <f>事業者情報!C5&amp;"　"&amp;事業者情報!C6</f>
        <v>代表取締役社長　澤田昌志</v>
      </c>
      <c r="M18" s="37"/>
    </row>
    <row r="19" spans="2:13">
      <c r="G19" s="51" t="s">
        <v>29</v>
      </c>
      <c r="H19" s="51" t="str">
        <f>事業者情報!C7&amp;""</f>
        <v>0566-63-6817</v>
      </c>
      <c r="M19" s="37"/>
    </row>
    <row r="20" spans="2:13">
      <c r="G20" s="51" t="s">
        <v>30</v>
      </c>
      <c r="H20" s="51" t="str">
        <f>事業者情報!C8&amp;""</f>
        <v>0566-63-6818</v>
      </c>
      <c r="M20" s="37"/>
    </row>
    <row r="21" spans="2:13">
      <c r="M21" s="37"/>
    </row>
    <row r="22" spans="2:13" ht="24" customHeight="1">
      <c r="B22" s="134" t="s">
        <v>135</v>
      </c>
      <c r="C22" s="134"/>
      <c r="D22" s="134"/>
      <c r="E22" s="134"/>
      <c r="F22" s="134"/>
      <c r="G22" s="134"/>
      <c r="H22" s="134"/>
      <c r="I22" s="134"/>
      <c r="M22" s="37"/>
    </row>
    <row r="23" spans="2:13" ht="24" customHeight="1">
      <c r="B23" s="134"/>
      <c r="C23" s="134"/>
      <c r="D23" s="134"/>
      <c r="E23" s="134"/>
      <c r="F23" s="134"/>
      <c r="G23" s="134"/>
      <c r="H23" s="134"/>
      <c r="I23" s="134"/>
      <c r="M23" s="37"/>
    </row>
    <row r="25" spans="2:13" ht="27">
      <c r="C25" s="98">
        <v>10</v>
      </c>
      <c r="D25" s="98" t="s">
        <v>173</v>
      </c>
      <c r="E25" s="71" t="s">
        <v>32</v>
      </c>
      <c r="F25" s="72">
        <f>H34</f>
        <v>0</v>
      </c>
      <c r="G25" s="16" t="s">
        <v>33</v>
      </c>
    </row>
    <row r="27" spans="2:13" ht="24.75" customHeight="1">
      <c r="B27" s="55"/>
      <c r="C27" s="56"/>
      <c r="D27" s="64" t="s">
        <v>42</v>
      </c>
      <c r="E27" s="127" t="s">
        <v>131</v>
      </c>
      <c r="F27" s="124"/>
      <c r="G27" s="124"/>
      <c r="H27" s="125"/>
      <c r="I27" s="12"/>
    </row>
    <row r="28" spans="2:13" ht="24.75" customHeight="1">
      <c r="B28" s="55"/>
      <c r="C28" s="56"/>
      <c r="D28" s="60" t="s">
        <v>139</v>
      </c>
      <c r="E28" s="127" t="s">
        <v>140</v>
      </c>
      <c r="F28" s="128"/>
      <c r="G28" s="128"/>
      <c r="H28" s="129"/>
      <c r="I28" s="12"/>
    </row>
    <row r="29" spans="2:13" ht="24.75" customHeight="1">
      <c r="B29" s="57"/>
      <c r="C29" s="56"/>
      <c r="D29" s="60" t="s">
        <v>43</v>
      </c>
      <c r="E29" s="126">
        <v>46010</v>
      </c>
      <c r="F29" s="124"/>
      <c r="G29" s="124"/>
      <c r="H29" s="125"/>
      <c r="I29" s="53"/>
    </row>
    <row r="30" spans="2:13" ht="24.75" customHeight="1">
      <c r="B30" s="57"/>
      <c r="C30" s="56"/>
      <c r="D30" s="65" t="s">
        <v>44</v>
      </c>
      <c r="E30" s="61"/>
      <c r="F30" s="67"/>
      <c r="G30" s="45"/>
      <c r="H30" s="46"/>
      <c r="I30" s="73" t="s">
        <v>45</v>
      </c>
    </row>
    <row r="31" spans="2:13" ht="24.75" customHeight="1">
      <c r="B31" s="57"/>
      <c r="C31" s="56"/>
      <c r="D31" s="62" t="s">
        <v>46</v>
      </c>
      <c r="E31" s="68" t="s">
        <v>35</v>
      </c>
      <c r="F31" s="67"/>
      <c r="G31" s="45"/>
      <c r="H31" s="44">
        <f>H30</f>
        <v>0</v>
      </c>
      <c r="I31" s="74" t="s">
        <v>40</v>
      </c>
    </row>
    <row r="32" spans="2:13" ht="24.75" customHeight="1">
      <c r="B32" s="57"/>
      <c r="C32" s="56"/>
      <c r="D32" s="62"/>
      <c r="E32" s="68" t="s">
        <v>36</v>
      </c>
      <c r="F32" s="67"/>
      <c r="G32" s="45"/>
      <c r="H32" s="45">
        <v>0</v>
      </c>
      <c r="I32" s="74" t="s">
        <v>40</v>
      </c>
    </row>
    <row r="33" spans="2:10" ht="24.75" customHeight="1">
      <c r="B33" s="57"/>
      <c r="C33" s="56"/>
      <c r="D33" s="62"/>
      <c r="E33" s="66" t="s">
        <v>37</v>
      </c>
      <c r="F33" s="69"/>
      <c r="G33" s="43"/>
      <c r="H33" s="59"/>
      <c r="I33" s="74" t="s">
        <v>40</v>
      </c>
    </row>
    <row r="34" spans="2:10" ht="24">
      <c r="B34" s="57"/>
      <c r="C34" s="56"/>
      <c r="D34" s="42"/>
      <c r="E34" s="38"/>
      <c r="F34" s="38"/>
      <c r="G34" s="63" t="s">
        <v>47</v>
      </c>
      <c r="H34" s="70">
        <f>SUM(H31-H32+H33)</f>
        <v>0</v>
      </c>
      <c r="I34" s="74" t="s">
        <v>40</v>
      </c>
    </row>
    <row r="35" spans="2:10" ht="24">
      <c r="B35" s="57"/>
      <c r="C35" s="56"/>
      <c r="D35" s="12"/>
      <c r="E35" s="12"/>
      <c r="F35" s="12"/>
      <c r="G35" s="12"/>
      <c r="H35" s="12"/>
      <c r="I35" s="53"/>
    </row>
    <row r="36" spans="2:10" ht="24">
      <c r="B36" s="57"/>
      <c r="C36" s="56"/>
      <c r="D36" s="12"/>
      <c r="E36" s="12"/>
      <c r="F36" s="12"/>
      <c r="G36" s="12"/>
      <c r="H36" s="12"/>
      <c r="I36" s="12"/>
    </row>
    <row r="37" spans="2:10" ht="24">
      <c r="B37" s="57"/>
      <c r="C37" s="56"/>
      <c r="D37" s="12"/>
      <c r="E37" s="12"/>
      <c r="F37" s="12"/>
      <c r="G37" s="12"/>
      <c r="H37" s="12"/>
      <c r="I37" s="12"/>
    </row>
    <row r="38" spans="2:10" ht="24">
      <c r="B38" s="57"/>
      <c r="C38" s="56"/>
      <c r="D38" s="12"/>
      <c r="E38" s="12"/>
      <c r="F38" s="12"/>
      <c r="G38" s="12"/>
      <c r="H38" s="12"/>
      <c r="I38" s="54"/>
    </row>
    <row r="39" spans="2:10" s="11" customFormat="1" ht="20.25" customHeight="1">
      <c r="B39" s="57"/>
      <c r="C39" s="58"/>
      <c r="D39" s="12"/>
      <c r="E39" s="12"/>
      <c r="F39" s="12"/>
      <c r="G39" s="12"/>
      <c r="H39" s="12"/>
      <c r="I39" s="12"/>
      <c r="J39" s="18"/>
    </row>
    <row r="40" spans="2:10" s="11" customFormat="1" ht="20.25" customHeight="1">
      <c r="B40" s="57"/>
      <c r="C40" s="58"/>
      <c r="D40" s="12"/>
      <c r="E40" s="12"/>
      <c r="F40" s="12"/>
      <c r="G40" s="12"/>
      <c r="H40" s="12"/>
      <c r="I40" s="12"/>
    </row>
    <row r="41" spans="2:10" s="11" customFormat="1" ht="20.25" customHeight="1">
      <c r="B41" s="57"/>
      <c r="C41" s="58"/>
      <c r="D41" s="12"/>
      <c r="E41" s="12"/>
      <c r="F41" s="12"/>
      <c r="G41" s="12"/>
      <c r="H41" s="12"/>
      <c r="I41" s="12"/>
    </row>
    <row r="42" spans="2:10" s="11" customFormat="1" ht="20.25" customHeight="1">
      <c r="B42" s="57"/>
      <c r="C42" s="58"/>
      <c r="D42" s="12"/>
      <c r="E42" s="12"/>
      <c r="F42" s="12"/>
      <c r="G42" s="12"/>
      <c r="H42" s="12"/>
      <c r="I42" s="12"/>
    </row>
    <row r="43" spans="2:10" ht="24">
      <c r="B43" s="1"/>
      <c r="C43" s="1"/>
      <c r="D43" s="1"/>
      <c r="E43" s="1"/>
      <c r="F43" s="1"/>
      <c r="G43" s="12"/>
      <c r="H43" s="1"/>
      <c r="I43" s="12"/>
    </row>
    <row r="44" spans="2:10" ht="24">
      <c r="B44" s="12"/>
      <c r="C44" s="12"/>
      <c r="D44" s="12"/>
      <c r="E44" s="12"/>
      <c r="F44" s="12"/>
      <c r="G44" s="12"/>
      <c r="H44" s="12"/>
      <c r="I44" s="41"/>
    </row>
    <row r="45" spans="2:10" ht="24">
      <c r="B45" s="12"/>
      <c r="C45" s="12"/>
      <c r="D45" s="12"/>
      <c r="E45" s="12"/>
      <c r="F45" s="39"/>
      <c r="G45" s="39"/>
      <c r="H45" s="40"/>
      <c r="I45" s="39"/>
    </row>
  </sheetData>
  <mergeCells count="9">
    <mergeCell ref="E27:H27"/>
    <mergeCell ref="E29:H29"/>
    <mergeCell ref="I2:J2"/>
    <mergeCell ref="B6:D6"/>
    <mergeCell ref="G15:G16"/>
    <mergeCell ref="H16:J16"/>
    <mergeCell ref="H17:J17"/>
    <mergeCell ref="B22:I23"/>
    <mergeCell ref="E28:H28"/>
  </mergeCells>
  <phoneticPr fontId="7"/>
  <dataValidations count="1">
    <dataValidation allowBlank="1" showInputMessage="1" showErrorMessage="1" sqref="H2" xr:uid="{2AD67CF3-6156-FA42-9154-3004896B7ECB}"/>
  </dataValidations>
  <pageMargins left="0.7" right="0.7" top="0.75" bottom="0.75" header="0.3" footer="0.3"/>
  <pageSetup paperSize="9" scale="71"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BB6A3-2D68-C54B-ABB7-B28AFACE3B63}">
  <sheetPr codeName="Sheet5">
    <tabColor theme="7"/>
    <pageSetUpPr fitToPage="1"/>
  </sheetPr>
  <dimension ref="B1:M45"/>
  <sheetViews>
    <sheetView topLeftCell="A14" zoomScaleNormal="100" workbookViewId="0">
      <selection activeCell="L33" sqref="L33"/>
    </sheetView>
  </sheetViews>
  <sheetFormatPr baseColWidth="10" defaultColWidth="8.83203125" defaultRowHeight="18"/>
  <cols>
    <col min="1" max="1" width="8.1640625" customWidth="1"/>
    <col min="2" max="2" width="4.33203125" customWidth="1"/>
    <col min="3" max="3" width="8.5" customWidth="1"/>
    <col min="4" max="4" width="17.1640625" customWidth="1"/>
    <col min="5" max="5" width="13.6640625" customWidth="1"/>
    <col min="6" max="6" width="17.1640625" customWidth="1"/>
    <col min="7" max="7" width="13.6640625" customWidth="1"/>
    <col min="8" max="8" width="17.1640625" customWidth="1"/>
    <col min="9" max="9" width="6.5" customWidth="1"/>
    <col min="10" max="10" width="6.6640625" customWidth="1"/>
    <col min="11" max="11" width="11.1640625" customWidth="1"/>
    <col min="12" max="12" width="6.6640625" customWidth="1"/>
    <col min="13" max="13" width="15.83203125" customWidth="1"/>
    <col min="14" max="14" width="17.6640625" customWidth="1"/>
    <col min="15" max="15" width="18.1640625" customWidth="1"/>
  </cols>
  <sheetData>
    <row r="1" spans="2:13">
      <c r="I1" s="10"/>
    </row>
    <row r="2" spans="2:13" ht="24">
      <c r="B2" s="1"/>
      <c r="G2" s="87"/>
      <c r="H2" s="88"/>
      <c r="I2" s="130"/>
      <c r="J2" s="130"/>
    </row>
    <row r="3" spans="2:13" ht="24" customHeight="1">
      <c r="B3" s="76"/>
      <c r="C3" s="76"/>
      <c r="D3" s="76"/>
      <c r="E3" s="76"/>
      <c r="G3" s="87"/>
      <c r="H3" s="88"/>
      <c r="I3" s="88"/>
    </row>
    <row r="4" spans="2:13" ht="18.75" customHeight="1">
      <c r="B4" s="76"/>
      <c r="C4" s="76"/>
      <c r="D4" s="76"/>
      <c r="E4" s="76"/>
    </row>
    <row r="5" spans="2:13" ht="24">
      <c r="B5" s="33"/>
      <c r="C5" s="33"/>
      <c r="D5" s="33"/>
    </row>
    <row r="6" spans="2:13" ht="45">
      <c r="B6" s="131"/>
      <c r="C6" s="131"/>
      <c r="D6" s="131"/>
      <c r="E6" s="1"/>
      <c r="F6" s="86" t="s">
        <v>137</v>
      </c>
    </row>
    <row r="7" spans="2:13" ht="24">
      <c r="B7" s="1" t="s">
        <v>20</v>
      </c>
      <c r="C7" s="12"/>
      <c r="D7" s="13">
        <f>受給者情報!B5</f>
        <v>3000005243</v>
      </c>
      <c r="E7" s="13"/>
    </row>
    <row r="8" spans="2:13" ht="24">
      <c r="B8" s="12" t="s">
        <v>21</v>
      </c>
      <c r="C8" s="12"/>
      <c r="D8" s="12" t="str">
        <f>受給者情報!C5</f>
        <v>成田清行</v>
      </c>
      <c r="E8" t="s">
        <v>41</v>
      </c>
    </row>
    <row r="12" spans="2:13" ht="31">
      <c r="E12" s="52" t="s">
        <v>22</v>
      </c>
      <c r="F12" s="52"/>
      <c r="G12" s="52"/>
    </row>
    <row r="13" spans="2:13" ht="24">
      <c r="I13" s="14"/>
      <c r="M13" s="37"/>
    </row>
    <row r="14" spans="2:13">
      <c r="M14" s="37"/>
    </row>
    <row r="15" spans="2:13" ht="24" customHeight="1">
      <c r="G15" s="132" t="s">
        <v>23</v>
      </c>
      <c r="H15" s="49" t="s">
        <v>24</v>
      </c>
      <c r="I15" s="49"/>
      <c r="M15" s="37"/>
    </row>
    <row r="16" spans="2:13" ht="24" customHeight="1">
      <c r="G16" s="132"/>
      <c r="H16" s="133" t="s">
        <v>25</v>
      </c>
      <c r="I16" s="133"/>
      <c r="J16" s="133"/>
      <c r="M16" s="37"/>
    </row>
    <row r="17" spans="2:13" ht="40.5" customHeight="1">
      <c r="D17" t="s">
        <v>138</v>
      </c>
      <c r="G17" s="50"/>
      <c r="H17" s="133" t="s">
        <v>27</v>
      </c>
      <c r="I17" s="133"/>
      <c r="J17" s="133"/>
      <c r="M17" s="37"/>
    </row>
    <row r="18" spans="2:13">
      <c r="G18" s="51" t="s">
        <v>28</v>
      </c>
      <c r="H18" s="51" t="str">
        <f>事業者情報!C5&amp;"　"&amp;事業者情報!C6</f>
        <v>代表取締役社長　澤田昌志</v>
      </c>
      <c r="M18" s="37"/>
    </row>
    <row r="19" spans="2:13">
      <c r="G19" s="51" t="s">
        <v>29</v>
      </c>
      <c r="H19" s="51" t="str">
        <f>事業者情報!C7&amp;""</f>
        <v>0566-63-6817</v>
      </c>
      <c r="M19" s="37"/>
    </row>
    <row r="20" spans="2:13">
      <c r="G20" s="51" t="s">
        <v>30</v>
      </c>
      <c r="H20" s="51" t="str">
        <f>事業者情報!C8&amp;""</f>
        <v>0566-63-6818</v>
      </c>
      <c r="M20" s="37"/>
    </row>
    <row r="21" spans="2:13">
      <c r="M21" s="37"/>
    </row>
    <row r="22" spans="2:13" ht="24" customHeight="1">
      <c r="B22" s="134" t="s">
        <v>135</v>
      </c>
      <c r="C22" s="134"/>
      <c r="D22" s="134"/>
      <c r="E22" s="134"/>
      <c r="F22" s="134"/>
      <c r="G22" s="134"/>
      <c r="H22" s="134"/>
      <c r="I22" s="134"/>
      <c r="M22" s="37"/>
    </row>
    <row r="23" spans="2:13" ht="24" customHeight="1">
      <c r="B23" s="134"/>
      <c r="C23" s="134"/>
      <c r="D23" s="134"/>
      <c r="E23" s="134"/>
      <c r="F23" s="134"/>
      <c r="G23" s="134"/>
      <c r="H23" s="134"/>
      <c r="I23" s="134"/>
      <c r="M23" s="37"/>
    </row>
    <row r="25" spans="2:13" ht="27">
      <c r="C25" s="98">
        <v>10</v>
      </c>
      <c r="D25" s="98" t="s">
        <v>173</v>
      </c>
      <c r="E25" s="71" t="s">
        <v>32</v>
      </c>
      <c r="F25" s="72">
        <f>H34</f>
        <v>10000</v>
      </c>
      <c r="G25" s="16" t="s">
        <v>33</v>
      </c>
    </row>
    <row r="27" spans="2:13" ht="24.75" customHeight="1">
      <c r="B27" s="55"/>
      <c r="C27" s="56"/>
      <c r="D27" s="64" t="s">
        <v>42</v>
      </c>
      <c r="E27" s="127" t="s">
        <v>132</v>
      </c>
      <c r="F27" s="124"/>
      <c r="G27" s="124"/>
      <c r="H27" s="125"/>
      <c r="I27" s="12"/>
    </row>
    <row r="28" spans="2:13" ht="24.75" customHeight="1">
      <c r="B28" s="55"/>
      <c r="C28" s="56"/>
      <c r="D28" s="60" t="s">
        <v>139</v>
      </c>
      <c r="E28" s="127" t="s">
        <v>140</v>
      </c>
      <c r="F28" s="128"/>
      <c r="G28" s="128"/>
      <c r="H28" s="129"/>
      <c r="I28" s="12"/>
    </row>
    <row r="29" spans="2:13" ht="24.75" customHeight="1">
      <c r="B29" s="57"/>
      <c r="C29" s="56"/>
      <c r="D29" s="60" t="s">
        <v>43</v>
      </c>
      <c r="E29" s="126">
        <v>46010</v>
      </c>
      <c r="F29" s="124"/>
      <c r="G29" s="124"/>
      <c r="H29" s="125"/>
      <c r="I29" s="53"/>
    </row>
    <row r="30" spans="2:13" ht="24.75" customHeight="1">
      <c r="B30" s="57"/>
      <c r="C30" s="56"/>
      <c r="D30" s="65" t="s">
        <v>44</v>
      </c>
      <c r="E30" s="61"/>
      <c r="F30" s="67"/>
      <c r="G30" s="45"/>
      <c r="H30" s="46"/>
      <c r="I30" s="73" t="s">
        <v>45</v>
      </c>
    </row>
    <row r="31" spans="2:13" ht="24.75" customHeight="1">
      <c r="B31" s="57"/>
      <c r="C31" s="56"/>
      <c r="D31" s="62" t="s">
        <v>46</v>
      </c>
      <c r="E31" s="68" t="s">
        <v>35</v>
      </c>
      <c r="F31" s="67"/>
      <c r="G31" s="45"/>
      <c r="H31" s="44">
        <f>H30</f>
        <v>0</v>
      </c>
      <c r="I31" s="74" t="s">
        <v>40</v>
      </c>
    </row>
    <row r="32" spans="2:13" ht="24.75" customHeight="1">
      <c r="B32" s="57"/>
      <c r="C32" s="56"/>
      <c r="D32" s="62"/>
      <c r="E32" s="68" t="s">
        <v>36</v>
      </c>
      <c r="F32" s="67"/>
      <c r="G32" s="45"/>
      <c r="H32" s="45">
        <v>0</v>
      </c>
      <c r="I32" s="74" t="s">
        <v>40</v>
      </c>
    </row>
    <row r="33" spans="2:10" ht="24.75" customHeight="1">
      <c r="B33" s="57"/>
      <c r="C33" s="56"/>
      <c r="D33" s="62"/>
      <c r="E33" s="66" t="s">
        <v>37</v>
      </c>
      <c r="F33" s="69"/>
      <c r="G33" s="43"/>
      <c r="H33" s="59">
        <v>10000</v>
      </c>
      <c r="I33" s="74" t="s">
        <v>40</v>
      </c>
    </row>
    <row r="34" spans="2:10" ht="24">
      <c r="B34" s="57"/>
      <c r="C34" s="56"/>
      <c r="D34" s="42"/>
      <c r="E34" s="38"/>
      <c r="F34" s="38"/>
      <c r="G34" s="63" t="s">
        <v>47</v>
      </c>
      <c r="H34" s="70">
        <f>SUM(H31-H32+H33)</f>
        <v>10000</v>
      </c>
      <c r="I34" s="74" t="s">
        <v>40</v>
      </c>
    </row>
    <row r="35" spans="2:10" ht="24">
      <c r="B35" s="57"/>
      <c r="C35" s="56"/>
      <c r="D35" s="12"/>
      <c r="E35" s="12"/>
      <c r="F35" s="12"/>
      <c r="G35" s="12"/>
      <c r="H35" s="12"/>
      <c r="I35" s="53"/>
    </row>
    <row r="36" spans="2:10" ht="24">
      <c r="B36" s="57"/>
      <c r="C36" s="56"/>
      <c r="D36" s="12"/>
      <c r="E36" s="12"/>
      <c r="F36" s="12"/>
      <c r="G36" s="12"/>
      <c r="H36" s="12"/>
      <c r="I36" s="12"/>
    </row>
    <row r="37" spans="2:10" ht="24">
      <c r="B37" s="57"/>
      <c r="C37" s="56"/>
      <c r="D37" s="12"/>
      <c r="E37" s="12"/>
      <c r="F37" s="12"/>
      <c r="G37" s="12"/>
      <c r="H37" s="12"/>
      <c r="I37" s="12"/>
    </row>
    <row r="38" spans="2:10" ht="24">
      <c r="B38" s="57"/>
      <c r="C38" s="56"/>
      <c r="D38" s="12"/>
      <c r="E38" s="12"/>
      <c r="F38" s="12"/>
      <c r="G38" s="12"/>
      <c r="H38" s="12"/>
      <c r="I38" s="54"/>
    </row>
    <row r="39" spans="2:10" s="11" customFormat="1" ht="20.25" customHeight="1">
      <c r="B39" s="57"/>
      <c r="C39" s="58"/>
      <c r="D39" s="12"/>
      <c r="E39" s="12"/>
      <c r="F39" s="12"/>
      <c r="G39" s="12"/>
      <c r="H39" s="12"/>
      <c r="I39" s="12"/>
      <c r="J39" s="18"/>
    </row>
    <row r="40" spans="2:10" s="11" customFormat="1" ht="20.25" customHeight="1">
      <c r="B40" s="57"/>
      <c r="C40" s="58"/>
      <c r="D40" s="12"/>
      <c r="E40" s="12"/>
      <c r="F40" s="12"/>
      <c r="G40" s="12"/>
      <c r="H40" s="12"/>
      <c r="I40" s="12"/>
    </row>
    <row r="41" spans="2:10" s="11" customFormat="1" ht="20.25" customHeight="1">
      <c r="B41" s="57"/>
      <c r="C41" s="58"/>
      <c r="D41" s="12"/>
      <c r="E41" s="12"/>
      <c r="F41" s="12"/>
      <c r="G41" s="12"/>
      <c r="H41" s="12"/>
      <c r="I41" s="12"/>
    </row>
    <row r="42" spans="2:10" s="11" customFormat="1" ht="20.25" customHeight="1">
      <c r="B42" s="57"/>
      <c r="C42" s="58"/>
      <c r="D42" s="12"/>
      <c r="E42" s="12"/>
      <c r="F42" s="12"/>
      <c r="G42" s="12"/>
      <c r="H42" s="12"/>
      <c r="I42" s="12"/>
    </row>
    <row r="43" spans="2:10" ht="24">
      <c r="B43" s="1"/>
      <c r="C43" s="1"/>
      <c r="D43" s="1"/>
      <c r="E43" s="1"/>
      <c r="F43" s="1"/>
      <c r="G43" s="12"/>
      <c r="H43" s="1"/>
      <c r="I43" s="12"/>
    </row>
    <row r="44" spans="2:10" ht="24">
      <c r="B44" s="12"/>
      <c r="C44" s="12"/>
      <c r="D44" s="12"/>
      <c r="E44" s="12"/>
      <c r="F44" s="12"/>
      <c r="G44" s="12"/>
      <c r="H44" s="12"/>
      <c r="I44" s="41"/>
    </row>
    <row r="45" spans="2:10" ht="24">
      <c r="B45" s="12"/>
      <c r="C45" s="12"/>
      <c r="D45" s="12"/>
      <c r="E45" s="12"/>
      <c r="F45" s="39"/>
      <c r="G45" s="39"/>
      <c r="H45" s="40"/>
      <c r="I45" s="39"/>
    </row>
  </sheetData>
  <mergeCells count="9">
    <mergeCell ref="E27:H27"/>
    <mergeCell ref="E29:H29"/>
    <mergeCell ref="I2:J2"/>
    <mergeCell ref="B6:D6"/>
    <mergeCell ref="G15:G16"/>
    <mergeCell ref="H16:J16"/>
    <mergeCell ref="H17:J17"/>
    <mergeCell ref="B22:I23"/>
    <mergeCell ref="E28:H28"/>
  </mergeCells>
  <phoneticPr fontId="7"/>
  <dataValidations count="1">
    <dataValidation allowBlank="1" showInputMessage="1" showErrorMessage="1" sqref="H2" xr:uid="{A4931071-E7C3-1244-8EC9-58086D2FF77B}"/>
  </dataValidations>
  <pageMargins left="0.7" right="0.7" top="0.75" bottom="0.75" header="0.3" footer="0.3"/>
  <pageSetup paperSize="9" scale="77"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76E07-9F52-C64D-B1CF-1F88D0271C01}">
  <sheetPr codeName="Sheet6">
    <tabColor theme="7"/>
    <pageSetUpPr fitToPage="1"/>
  </sheetPr>
  <dimension ref="B1:M45"/>
  <sheetViews>
    <sheetView topLeftCell="A12" zoomScaleNormal="100" workbookViewId="0">
      <selection activeCell="M32" sqref="M32"/>
    </sheetView>
  </sheetViews>
  <sheetFormatPr baseColWidth="10" defaultColWidth="8.83203125" defaultRowHeight="18"/>
  <cols>
    <col min="1" max="1" width="8.1640625" customWidth="1"/>
    <col min="2" max="2" width="4.33203125" customWidth="1"/>
    <col min="3" max="3" width="8.5" customWidth="1"/>
    <col min="4" max="4" width="17.1640625" customWidth="1"/>
    <col min="5" max="5" width="13.6640625" customWidth="1"/>
    <col min="6" max="6" width="17.1640625" customWidth="1"/>
    <col min="7" max="7" width="13.6640625" customWidth="1"/>
    <col min="8" max="8" width="17.1640625" customWidth="1"/>
    <col min="9" max="9" width="6.5" customWidth="1"/>
    <col min="10" max="10" width="6.6640625" customWidth="1"/>
    <col min="11" max="11" width="11.1640625" customWidth="1"/>
    <col min="12" max="12" width="6.6640625" customWidth="1"/>
    <col min="13" max="13" width="15.83203125" customWidth="1"/>
    <col min="14" max="14" width="17.6640625" customWidth="1"/>
    <col min="15" max="15" width="18.1640625" customWidth="1"/>
  </cols>
  <sheetData>
    <row r="1" spans="2:13">
      <c r="I1" s="10"/>
    </row>
    <row r="2" spans="2:13" ht="24">
      <c r="B2" s="1"/>
      <c r="G2" s="87"/>
      <c r="H2" s="88"/>
      <c r="I2" s="130"/>
      <c r="J2" s="130"/>
    </row>
    <row r="3" spans="2:13" ht="24" customHeight="1">
      <c r="B3" s="76"/>
      <c r="C3" s="76"/>
      <c r="D3" s="76"/>
      <c r="E3" s="76"/>
      <c r="G3" s="87"/>
      <c r="H3" s="88"/>
      <c r="I3" s="88"/>
    </row>
    <row r="4" spans="2:13" ht="18.75" customHeight="1">
      <c r="B4" s="76"/>
      <c r="C4" s="76"/>
      <c r="D4" s="76"/>
      <c r="E4" s="76"/>
    </row>
    <row r="5" spans="2:13" ht="24">
      <c r="B5" s="33"/>
      <c r="C5" s="33"/>
      <c r="D5" s="33"/>
    </row>
    <row r="6" spans="2:13" ht="45">
      <c r="B6" s="131"/>
      <c r="C6" s="131"/>
      <c r="D6" s="131"/>
      <c r="E6" s="1"/>
      <c r="F6" s="86" t="s">
        <v>137</v>
      </c>
    </row>
    <row r="7" spans="2:13" ht="24">
      <c r="B7" s="1" t="s">
        <v>20</v>
      </c>
      <c r="C7" s="12"/>
      <c r="D7" s="13">
        <f>受給者情報!B6</f>
        <v>3000012793</v>
      </c>
      <c r="E7" s="13"/>
    </row>
    <row r="8" spans="2:13" ht="24">
      <c r="B8" s="12" t="s">
        <v>21</v>
      </c>
      <c r="C8" s="12"/>
      <c r="D8" s="12" t="str">
        <f>受給者情報!C6</f>
        <v>西濱泰斗</v>
      </c>
      <c r="E8" t="s">
        <v>41</v>
      </c>
    </row>
    <row r="12" spans="2:13" ht="31">
      <c r="E12" s="52" t="s">
        <v>22</v>
      </c>
      <c r="F12" s="52"/>
      <c r="G12" s="52"/>
    </row>
    <row r="13" spans="2:13" ht="24">
      <c r="I13" s="14"/>
      <c r="M13" s="37"/>
    </row>
    <row r="14" spans="2:13">
      <c r="M14" s="37"/>
    </row>
    <row r="15" spans="2:13" ht="24" customHeight="1">
      <c r="G15" s="132" t="s">
        <v>23</v>
      </c>
      <c r="H15" s="49" t="s">
        <v>24</v>
      </c>
      <c r="I15" s="49"/>
      <c r="M15" s="37"/>
    </row>
    <row r="16" spans="2:13" ht="24" customHeight="1">
      <c r="G16" s="132"/>
      <c r="H16" s="133" t="s">
        <v>25</v>
      </c>
      <c r="I16" s="133"/>
      <c r="J16" s="133"/>
      <c r="M16" s="37"/>
    </row>
    <row r="17" spans="2:13" ht="40.5" customHeight="1">
      <c r="G17" s="50"/>
      <c r="H17" s="133" t="s">
        <v>27</v>
      </c>
      <c r="I17" s="133"/>
      <c r="J17" s="133"/>
      <c r="M17" s="37"/>
    </row>
    <row r="18" spans="2:13">
      <c r="G18" s="51" t="s">
        <v>28</v>
      </c>
      <c r="H18" s="51" t="str">
        <f>事業者情報!C5&amp;"　"&amp;事業者情報!C6</f>
        <v>代表取締役社長　澤田昌志</v>
      </c>
      <c r="M18" s="37"/>
    </row>
    <row r="19" spans="2:13">
      <c r="G19" s="51" t="s">
        <v>29</v>
      </c>
      <c r="H19" s="51" t="str">
        <f>事業者情報!C7&amp;""</f>
        <v>0566-63-6817</v>
      </c>
      <c r="M19" s="37"/>
    </row>
    <row r="20" spans="2:13">
      <c r="G20" s="51" t="s">
        <v>30</v>
      </c>
      <c r="H20" s="51" t="str">
        <f>事業者情報!C8&amp;""</f>
        <v>0566-63-6818</v>
      </c>
      <c r="M20" s="37"/>
    </row>
    <row r="21" spans="2:13">
      <c r="M21" s="37"/>
    </row>
    <row r="22" spans="2:13" ht="24" customHeight="1">
      <c r="B22" s="134" t="s">
        <v>135</v>
      </c>
      <c r="C22" s="134"/>
      <c r="D22" s="134"/>
      <c r="E22" s="134"/>
      <c r="F22" s="134"/>
      <c r="G22" s="134"/>
      <c r="H22" s="134"/>
      <c r="I22" s="134"/>
      <c r="M22" s="37"/>
    </row>
    <row r="23" spans="2:13" ht="24" customHeight="1">
      <c r="B23" s="134"/>
      <c r="C23" s="134"/>
      <c r="D23" s="134"/>
      <c r="E23" s="134"/>
      <c r="F23" s="134"/>
      <c r="G23" s="134"/>
      <c r="H23" s="134"/>
      <c r="I23" s="134"/>
      <c r="M23" s="37"/>
    </row>
    <row r="25" spans="2:13" ht="27">
      <c r="C25" s="98">
        <v>9</v>
      </c>
      <c r="D25" s="98" t="s">
        <v>173</v>
      </c>
      <c r="E25" s="71" t="s">
        <v>32</v>
      </c>
      <c r="F25" s="72">
        <f>H34</f>
        <v>631432</v>
      </c>
      <c r="G25" s="16" t="s">
        <v>33</v>
      </c>
    </row>
    <row r="27" spans="2:13" ht="24.75" customHeight="1">
      <c r="B27" s="55"/>
      <c r="C27" s="56"/>
      <c r="D27" s="64" t="s">
        <v>42</v>
      </c>
      <c r="E27" s="127" t="s">
        <v>133</v>
      </c>
      <c r="F27" s="124"/>
      <c r="G27" s="124"/>
      <c r="H27" s="125"/>
      <c r="I27" s="12"/>
    </row>
    <row r="28" spans="2:13" ht="24.75" customHeight="1">
      <c r="B28" s="55"/>
      <c r="C28" s="56"/>
      <c r="D28" s="60" t="s">
        <v>139</v>
      </c>
      <c r="E28" s="127" t="s">
        <v>140</v>
      </c>
      <c r="F28" s="128"/>
      <c r="G28" s="128"/>
      <c r="H28" s="129"/>
      <c r="I28" s="12"/>
    </row>
    <row r="29" spans="2:13" ht="24.75" customHeight="1">
      <c r="B29" s="57"/>
      <c r="C29" s="56"/>
      <c r="D29" s="60" t="s">
        <v>43</v>
      </c>
      <c r="E29" s="126">
        <v>45981</v>
      </c>
      <c r="F29" s="124"/>
      <c r="G29" s="124"/>
      <c r="H29" s="125"/>
      <c r="I29" s="53"/>
    </row>
    <row r="30" spans="2:13" ht="24.75" customHeight="1">
      <c r="B30" s="57"/>
      <c r="C30" s="56"/>
      <c r="D30" s="65" t="s">
        <v>44</v>
      </c>
      <c r="E30" s="61"/>
      <c r="F30" s="67"/>
      <c r="G30" s="45"/>
      <c r="H30" s="104">
        <v>621432</v>
      </c>
      <c r="I30" s="73" t="s">
        <v>45</v>
      </c>
    </row>
    <row r="31" spans="2:13" ht="24.75" customHeight="1">
      <c r="B31" s="57"/>
      <c r="C31" s="56"/>
      <c r="D31" s="62" t="s">
        <v>46</v>
      </c>
      <c r="E31" s="68" t="s">
        <v>35</v>
      </c>
      <c r="F31" s="67"/>
      <c r="G31" s="45"/>
      <c r="H31" s="101">
        <f>H30</f>
        <v>621432</v>
      </c>
      <c r="I31" s="74" t="s">
        <v>40</v>
      </c>
    </row>
    <row r="32" spans="2:13" ht="24.75" customHeight="1">
      <c r="B32" s="57"/>
      <c r="C32" s="56"/>
      <c r="D32" s="62"/>
      <c r="E32" s="68" t="s">
        <v>36</v>
      </c>
      <c r="F32" s="67"/>
      <c r="G32" s="45"/>
      <c r="H32" s="102">
        <v>0</v>
      </c>
      <c r="I32" s="74" t="s">
        <v>40</v>
      </c>
    </row>
    <row r="33" spans="2:10" ht="24.75" customHeight="1">
      <c r="B33" s="57"/>
      <c r="C33" s="56"/>
      <c r="D33" s="62"/>
      <c r="E33" s="66" t="s">
        <v>37</v>
      </c>
      <c r="F33" s="69"/>
      <c r="G33" s="43"/>
      <c r="H33" s="103">
        <v>10000</v>
      </c>
      <c r="I33" s="74" t="s">
        <v>40</v>
      </c>
    </row>
    <row r="34" spans="2:10" ht="24">
      <c r="B34" s="57"/>
      <c r="C34" s="56"/>
      <c r="D34" s="42"/>
      <c r="E34" s="38"/>
      <c r="F34" s="38"/>
      <c r="G34" s="63" t="s">
        <v>47</v>
      </c>
      <c r="H34" s="96">
        <f>SUM(H31-H32+H33)</f>
        <v>631432</v>
      </c>
      <c r="I34" s="74" t="s">
        <v>40</v>
      </c>
    </row>
    <row r="35" spans="2:10" ht="24">
      <c r="B35" s="57"/>
      <c r="C35" s="56"/>
      <c r="D35" s="12"/>
      <c r="E35" s="12"/>
      <c r="F35" s="12"/>
      <c r="G35" s="12"/>
      <c r="H35" s="105"/>
      <c r="I35" s="53"/>
    </row>
    <row r="36" spans="2:10" ht="24">
      <c r="B36" s="57"/>
      <c r="C36" s="56"/>
      <c r="D36" s="12"/>
      <c r="E36" s="12"/>
      <c r="F36" s="12"/>
      <c r="G36" s="12"/>
      <c r="H36" s="105"/>
      <c r="I36" s="12"/>
    </row>
    <row r="37" spans="2:10" ht="24">
      <c r="B37" s="57"/>
      <c r="C37" s="56"/>
      <c r="D37" s="12"/>
      <c r="E37" s="12"/>
      <c r="F37" s="12"/>
      <c r="G37" s="12"/>
      <c r="H37" s="12"/>
      <c r="I37" s="12"/>
    </row>
    <row r="38" spans="2:10" ht="24">
      <c r="B38" s="57"/>
      <c r="C38" s="56"/>
      <c r="D38" s="12"/>
      <c r="E38" s="12"/>
      <c r="F38" s="12"/>
      <c r="G38" s="12"/>
      <c r="H38" s="12"/>
      <c r="I38" s="54"/>
    </row>
    <row r="39" spans="2:10" s="11" customFormat="1" ht="20.25" customHeight="1">
      <c r="B39" s="57"/>
      <c r="C39" s="58"/>
      <c r="D39" s="12"/>
      <c r="E39" s="12"/>
      <c r="F39" s="12"/>
      <c r="G39" s="12"/>
      <c r="H39" s="12"/>
      <c r="I39" s="12"/>
      <c r="J39" s="18"/>
    </row>
    <row r="40" spans="2:10" s="11" customFormat="1" ht="20.25" customHeight="1">
      <c r="B40" s="57"/>
      <c r="C40" s="58"/>
      <c r="D40" s="12"/>
      <c r="E40" s="12"/>
      <c r="F40" s="12"/>
      <c r="G40" s="12"/>
      <c r="H40" s="12"/>
      <c r="I40" s="12"/>
    </row>
    <row r="41" spans="2:10" s="11" customFormat="1" ht="20.25" customHeight="1">
      <c r="B41" s="57"/>
      <c r="C41" s="58"/>
      <c r="D41" s="12"/>
      <c r="E41" s="12"/>
      <c r="F41" s="12"/>
      <c r="G41" s="12"/>
      <c r="H41" s="12"/>
      <c r="I41" s="12"/>
    </row>
    <row r="42" spans="2:10" s="11" customFormat="1" ht="20.25" customHeight="1">
      <c r="B42" s="57"/>
      <c r="C42" s="58"/>
      <c r="D42" s="12"/>
      <c r="E42" s="12"/>
      <c r="F42" s="12"/>
      <c r="G42" s="12"/>
      <c r="H42" s="12"/>
      <c r="I42" s="12"/>
    </row>
    <row r="43" spans="2:10" ht="24">
      <c r="B43" s="1"/>
      <c r="C43" s="1"/>
      <c r="D43" s="1"/>
      <c r="E43" s="1"/>
      <c r="F43" s="1"/>
      <c r="G43" s="12"/>
      <c r="H43" s="1"/>
      <c r="I43" s="12"/>
    </row>
    <row r="44" spans="2:10" ht="24">
      <c r="B44" s="12"/>
      <c r="C44" s="12"/>
      <c r="D44" s="12"/>
      <c r="E44" s="12"/>
      <c r="F44" s="12"/>
      <c r="G44" s="12"/>
      <c r="H44" s="12"/>
      <c r="I44" s="41"/>
    </row>
    <row r="45" spans="2:10" ht="24">
      <c r="B45" s="12"/>
      <c r="C45" s="12"/>
      <c r="D45" s="12"/>
      <c r="E45" s="12"/>
      <c r="F45" s="39"/>
      <c r="G45" s="39"/>
      <c r="H45" s="40"/>
      <c r="I45" s="39"/>
    </row>
  </sheetData>
  <mergeCells count="9">
    <mergeCell ref="E27:H27"/>
    <mergeCell ref="E29:H29"/>
    <mergeCell ref="I2:J2"/>
    <mergeCell ref="B6:D6"/>
    <mergeCell ref="G15:G16"/>
    <mergeCell ref="H16:J16"/>
    <mergeCell ref="H17:J17"/>
    <mergeCell ref="B22:I23"/>
    <mergeCell ref="E28:H28"/>
  </mergeCells>
  <phoneticPr fontId="7"/>
  <dataValidations count="1">
    <dataValidation allowBlank="1" showInputMessage="1" showErrorMessage="1" sqref="H2" xr:uid="{1054BA99-047B-FA45-8423-52F417FF22A9}"/>
  </dataValidations>
  <pageMargins left="0.7" right="0.7" top="0.75" bottom="0.75" header="0.3" footer="0.3"/>
  <pageSetup paperSize="9" scale="77"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64762-A668-CC4F-B09A-A479B6D9449D}">
  <sheetPr codeName="Sheet7">
    <tabColor theme="7"/>
    <pageSetUpPr fitToPage="1"/>
  </sheetPr>
  <dimension ref="B1:M45"/>
  <sheetViews>
    <sheetView topLeftCell="A18" zoomScaleNormal="100" workbookViewId="0">
      <selection activeCell="M34" sqref="M34"/>
    </sheetView>
  </sheetViews>
  <sheetFormatPr baseColWidth="10" defaultColWidth="8.83203125" defaultRowHeight="18"/>
  <cols>
    <col min="1" max="1" width="8.1640625" customWidth="1"/>
    <col min="2" max="2" width="4.33203125" customWidth="1"/>
    <col min="3" max="3" width="8.5" customWidth="1"/>
    <col min="4" max="4" width="17.1640625" customWidth="1"/>
    <col min="5" max="5" width="13.6640625" customWidth="1"/>
    <col min="6" max="6" width="17.1640625" customWidth="1"/>
    <col min="7" max="7" width="13.6640625" customWidth="1"/>
    <col min="8" max="8" width="17.1640625" customWidth="1"/>
    <col min="9" max="9" width="6.5" customWidth="1"/>
    <col min="10" max="10" width="6.6640625" customWidth="1"/>
    <col min="11" max="11" width="11.1640625" customWidth="1"/>
    <col min="12" max="12" width="6.6640625" customWidth="1"/>
    <col min="13" max="13" width="15.83203125" customWidth="1"/>
    <col min="14" max="14" width="17.6640625" customWidth="1"/>
    <col min="15" max="15" width="18.1640625" customWidth="1"/>
  </cols>
  <sheetData>
    <row r="1" spans="2:13">
      <c r="I1" s="10"/>
    </row>
    <row r="2" spans="2:13" ht="24">
      <c r="B2" s="1"/>
      <c r="G2" s="87"/>
      <c r="H2" s="88"/>
      <c r="I2" s="130"/>
      <c r="J2" s="130"/>
    </row>
    <row r="3" spans="2:13" ht="24" customHeight="1">
      <c r="B3" s="76"/>
      <c r="C3" s="76"/>
      <c r="D3" s="76"/>
      <c r="E3" s="76"/>
      <c r="G3" s="87"/>
      <c r="H3" s="88"/>
      <c r="I3" s="88"/>
    </row>
    <row r="4" spans="2:13" ht="18.75" customHeight="1">
      <c r="B4" s="76"/>
      <c r="C4" s="76"/>
      <c r="D4" s="76"/>
      <c r="E4" s="76"/>
    </row>
    <row r="5" spans="2:13" ht="24">
      <c r="B5" s="33"/>
      <c r="C5" s="33"/>
      <c r="D5" s="33"/>
    </row>
    <row r="6" spans="2:13" ht="45">
      <c r="B6" s="131"/>
      <c r="C6" s="131"/>
      <c r="D6" s="131"/>
      <c r="E6" s="1"/>
      <c r="F6" s="86" t="s">
        <v>137</v>
      </c>
    </row>
    <row r="7" spans="2:13" ht="24">
      <c r="B7" s="1" t="s">
        <v>20</v>
      </c>
      <c r="C7" s="12"/>
      <c r="D7" s="13">
        <f>受給者情報!B7</f>
        <v>778563</v>
      </c>
      <c r="E7" s="13"/>
    </row>
    <row r="8" spans="2:13" ht="24">
      <c r="B8" s="12" t="s">
        <v>21</v>
      </c>
      <c r="C8" s="12"/>
      <c r="D8" s="12" t="str">
        <f>受給者情報!C7</f>
        <v>榊原隼翔</v>
      </c>
      <c r="E8" t="s">
        <v>41</v>
      </c>
    </row>
    <row r="12" spans="2:13" ht="31">
      <c r="E12" s="52" t="s">
        <v>22</v>
      </c>
      <c r="F12" s="52"/>
      <c r="G12" s="52"/>
    </row>
    <row r="13" spans="2:13" ht="24">
      <c r="I13" s="14"/>
      <c r="M13" s="37"/>
    </row>
    <row r="14" spans="2:13">
      <c r="M14" s="37"/>
    </row>
    <row r="15" spans="2:13" ht="24" customHeight="1">
      <c r="G15" s="132" t="s">
        <v>23</v>
      </c>
      <c r="H15" s="49" t="s">
        <v>24</v>
      </c>
      <c r="I15" s="49"/>
      <c r="M15" s="37"/>
    </row>
    <row r="16" spans="2:13" ht="24" customHeight="1">
      <c r="G16" s="132"/>
      <c r="H16" s="133" t="s">
        <v>25</v>
      </c>
      <c r="I16" s="133"/>
      <c r="J16" s="133"/>
      <c r="M16" s="37"/>
    </row>
    <row r="17" spans="2:13" ht="40.5" customHeight="1">
      <c r="G17" s="50"/>
      <c r="H17" s="133" t="s">
        <v>27</v>
      </c>
      <c r="I17" s="133"/>
      <c r="J17" s="133"/>
      <c r="M17" s="37"/>
    </row>
    <row r="18" spans="2:13">
      <c r="G18" s="51" t="s">
        <v>28</v>
      </c>
      <c r="H18" s="51" t="str">
        <f>事業者情報!C5&amp;"　"&amp;事業者情報!C6</f>
        <v>代表取締役社長　澤田昌志</v>
      </c>
      <c r="M18" s="37"/>
    </row>
    <row r="19" spans="2:13">
      <c r="G19" s="51" t="s">
        <v>29</v>
      </c>
      <c r="H19" s="51" t="str">
        <f>事業者情報!C7&amp;""</f>
        <v>0566-63-6817</v>
      </c>
      <c r="M19" s="37"/>
    </row>
    <row r="20" spans="2:13">
      <c r="G20" s="51" t="s">
        <v>30</v>
      </c>
      <c r="H20" s="51" t="str">
        <f>事業者情報!C8&amp;""</f>
        <v>0566-63-6818</v>
      </c>
      <c r="M20" s="37"/>
    </row>
    <row r="21" spans="2:13">
      <c r="M21" s="37"/>
    </row>
    <row r="22" spans="2:13" ht="24" customHeight="1">
      <c r="B22" s="134" t="s">
        <v>135</v>
      </c>
      <c r="C22" s="134"/>
      <c r="D22" s="134"/>
      <c r="E22" s="134"/>
      <c r="F22" s="134"/>
      <c r="G22" s="134"/>
      <c r="H22" s="134"/>
      <c r="I22" s="134"/>
      <c r="M22" s="37"/>
    </row>
    <row r="23" spans="2:13" ht="24" customHeight="1">
      <c r="B23" s="134"/>
      <c r="C23" s="134"/>
      <c r="D23" s="134"/>
      <c r="E23" s="134"/>
      <c r="F23" s="134"/>
      <c r="G23" s="134"/>
      <c r="H23" s="134"/>
      <c r="I23" s="134"/>
      <c r="M23" s="37"/>
    </row>
    <row r="25" spans="2:13" ht="27">
      <c r="C25" s="98">
        <v>9</v>
      </c>
      <c r="D25" s="98" t="s">
        <v>173</v>
      </c>
      <c r="E25" s="71" t="s">
        <v>32</v>
      </c>
      <c r="F25" s="72">
        <f>H34</f>
        <v>202315</v>
      </c>
      <c r="G25" s="16" t="s">
        <v>33</v>
      </c>
    </row>
    <row r="27" spans="2:13" ht="24.75" customHeight="1">
      <c r="B27" s="55"/>
      <c r="C27" s="56"/>
      <c r="D27" s="64" t="s">
        <v>42</v>
      </c>
      <c r="E27" s="123" t="s">
        <v>146</v>
      </c>
      <c r="F27" s="124"/>
      <c r="G27" s="124"/>
      <c r="H27" s="125"/>
      <c r="I27" s="12"/>
    </row>
    <row r="28" spans="2:13" ht="24.75" customHeight="1">
      <c r="B28" s="55"/>
      <c r="C28" s="56"/>
      <c r="D28" s="60" t="s">
        <v>139</v>
      </c>
      <c r="E28" s="127" t="s">
        <v>140</v>
      </c>
      <c r="F28" s="128"/>
      <c r="G28" s="128"/>
      <c r="H28" s="129"/>
      <c r="I28" s="12"/>
    </row>
    <row r="29" spans="2:13" ht="24.75" customHeight="1">
      <c r="B29" s="57"/>
      <c r="C29" s="56"/>
      <c r="D29" s="60" t="s">
        <v>43</v>
      </c>
      <c r="E29" s="126">
        <v>45981</v>
      </c>
      <c r="F29" s="124"/>
      <c r="G29" s="124"/>
      <c r="H29" s="125"/>
      <c r="I29" s="53"/>
    </row>
    <row r="30" spans="2:13" ht="24.75" customHeight="1">
      <c r="B30" s="57"/>
      <c r="C30" s="56"/>
      <c r="D30" s="65" t="s">
        <v>44</v>
      </c>
      <c r="E30" s="61"/>
      <c r="F30" s="67"/>
      <c r="G30" s="93"/>
      <c r="H30" s="94">
        <v>192315</v>
      </c>
      <c r="I30" s="73" t="s">
        <v>45</v>
      </c>
    </row>
    <row r="31" spans="2:13" ht="24.75" customHeight="1">
      <c r="B31" s="57"/>
      <c r="C31" s="56"/>
      <c r="D31" s="62" t="s">
        <v>46</v>
      </c>
      <c r="E31" s="68" t="s">
        <v>35</v>
      </c>
      <c r="F31" s="67"/>
      <c r="G31" s="45"/>
      <c r="H31" s="95">
        <f>H30</f>
        <v>192315</v>
      </c>
      <c r="I31" s="74" t="s">
        <v>40</v>
      </c>
    </row>
    <row r="32" spans="2:13" ht="24.75" customHeight="1">
      <c r="B32" s="57"/>
      <c r="C32" s="56"/>
      <c r="D32" s="62"/>
      <c r="E32" s="68" t="s">
        <v>36</v>
      </c>
      <c r="F32" s="67"/>
      <c r="G32" s="45"/>
      <c r="H32" s="45">
        <v>0</v>
      </c>
      <c r="I32" s="74" t="s">
        <v>40</v>
      </c>
    </row>
    <row r="33" spans="2:10" ht="24.75" customHeight="1">
      <c r="B33" s="57"/>
      <c r="C33" s="56"/>
      <c r="D33" s="62"/>
      <c r="E33" s="66" t="s">
        <v>37</v>
      </c>
      <c r="F33" s="69"/>
      <c r="G33" s="43"/>
      <c r="H33" s="59">
        <v>10000</v>
      </c>
      <c r="I33" s="74" t="s">
        <v>40</v>
      </c>
    </row>
    <row r="34" spans="2:10" ht="24">
      <c r="B34" s="57"/>
      <c r="C34" s="56"/>
      <c r="D34" s="42"/>
      <c r="E34" s="38"/>
      <c r="F34" s="38"/>
      <c r="G34" s="63" t="s">
        <v>47</v>
      </c>
      <c r="H34" s="96">
        <f>SUM(H31-H32+H33)</f>
        <v>202315</v>
      </c>
      <c r="I34" s="74" t="s">
        <v>40</v>
      </c>
    </row>
    <row r="35" spans="2:10" ht="24">
      <c r="B35" s="57"/>
      <c r="C35" s="56"/>
      <c r="D35" s="12"/>
      <c r="E35" s="12"/>
      <c r="F35" s="12"/>
      <c r="G35" s="12"/>
      <c r="H35" s="12"/>
      <c r="I35" s="53"/>
    </row>
    <row r="36" spans="2:10" ht="24">
      <c r="B36" s="57"/>
      <c r="C36" s="56"/>
      <c r="D36" s="12"/>
      <c r="E36" s="12"/>
      <c r="F36" s="12"/>
      <c r="G36" s="12"/>
      <c r="H36" s="12"/>
      <c r="I36" s="12"/>
    </row>
    <row r="37" spans="2:10" ht="24">
      <c r="B37" s="57"/>
      <c r="C37" s="56"/>
      <c r="D37" s="12"/>
      <c r="E37" s="12"/>
      <c r="F37" s="12"/>
      <c r="G37" s="12"/>
      <c r="H37" s="12"/>
      <c r="I37" s="12"/>
    </row>
    <row r="38" spans="2:10" ht="24">
      <c r="B38" s="57"/>
      <c r="C38" s="56"/>
      <c r="D38" s="12"/>
      <c r="E38" s="12"/>
      <c r="F38" s="12"/>
      <c r="G38" s="12"/>
      <c r="H38" s="12"/>
      <c r="I38" s="54"/>
    </row>
    <row r="39" spans="2:10" s="11" customFormat="1" ht="20.25" customHeight="1">
      <c r="B39" s="57"/>
      <c r="C39" s="58"/>
      <c r="D39" s="12"/>
      <c r="E39" s="12"/>
      <c r="F39" s="12"/>
      <c r="G39" s="12"/>
      <c r="H39" s="12"/>
      <c r="I39" s="12"/>
      <c r="J39" s="18"/>
    </row>
    <row r="40" spans="2:10" s="11" customFormat="1" ht="20.25" customHeight="1">
      <c r="B40" s="57"/>
      <c r="C40" s="58"/>
      <c r="D40" s="12"/>
      <c r="E40" s="12"/>
      <c r="F40" s="12"/>
      <c r="G40" s="12"/>
      <c r="H40" s="12"/>
      <c r="I40" s="12"/>
    </row>
    <row r="41" spans="2:10" s="11" customFormat="1" ht="20.25" customHeight="1">
      <c r="B41" s="57"/>
      <c r="C41" s="58"/>
      <c r="D41" s="12"/>
      <c r="E41" s="12"/>
      <c r="F41" s="12"/>
      <c r="G41" s="12"/>
      <c r="H41" s="12"/>
      <c r="I41" s="12"/>
    </row>
    <row r="42" spans="2:10" s="11" customFormat="1" ht="20.25" customHeight="1">
      <c r="B42" s="57"/>
      <c r="C42" s="58"/>
      <c r="D42" s="12"/>
      <c r="E42" s="12"/>
      <c r="F42" s="12"/>
      <c r="G42" s="12"/>
      <c r="H42" s="12"/>
      <c r="I42" s="12"/>
    </row>
    <row r="43" spans="2:10" ht="24">
      <c r="B43" s="1"/>
      <c r="C43" s="1"/>
      <c r="D43" s="1"/>
      <c r="E43" s="1"/>
      <c r="F43" s="1"/>
      <c r="G43" s="12"/>
      <c r="H43" s="1"/>
      <c r="I43" s="12"/>
    </row>
    <row r="44" spans="2:10" ht="24">
      <c r="B44" s="12"/>
      <c r="C44" s="12"/>
      <c r="D44" s="12"/>
      <c r="E44" s="12"/>
      <c r="F44" s="12"/>
      <c r="G44" s="12"/>
      <c r="H44" s="12"/>
      <c r="I44" s="41"/>
    </row>
    <row r="45" spans="2:10" ht="24">
      <c r="B45" s="12"/>
      <c r="C45" s="12"/>
      <c r="D45" s="12"/>
      <c r="E45" s="12"/>
      <c r="F45" s="39"/>
      <c r="G45" s="39"/>
      <c r="H45" s="40"/>
      <c r="I45" s="39"/>
    </row>
  </sheetData>
  <mergeCells count="9">
    <mergeCell ref="E27:H27"/>
    <mergeCell ref="E29:H29"/>
    <mergeCell ref="I2:J2"/>
    <mergeCell ref="B6:D6"/>
    <mergeCell ref="G15:G16"/>
    <mergeCell ref="H16:J16"/>
    <mergeCell ref="H17:J17"/>
    <mergeCell ref="B22:I23"/>
    <mergeCell ref="E28:H28"/>
  </mergeCells>
  <phoneticPr fontId="7"/>
  <dataValidations count="1">
    <dataValidation allowBlank="1" showInputMessage="1" showErrorMessage="1" sqref="H2" xr:uid="{7E23DDEE-9D2C-A14C-9EA5-1299B6B2A374}"/>
  </dataValidations>
  <pageMargins left="0.7" right="0.7" top="0.75" bottom="0.75" header="0.3" footer="0.3"/>
  <pageSetup paperSize="9" scale="77"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6C091-3A3A-494F-9DCA-1C1FF602438C}">
  <sheetPr codeName="Sheet8">
    <tabColor theme="7"/>
    <pageSetUpPr fitToPage="1"/>
  </sheetPr>
  <dimension ref="B1:M45"/>
  <sheetViews>
    <sheetView topLeftCell="A12" zoomScaleNormal="100" workbookViewId="0">
      <selection activeCell="L33" sqref="L33"/>
    </sheetView>
  </sheetViews>
  <sheetFormatPr baseColWidth="10" defaultColWidth="8.83203125" defaultRowHeight="18"/>
  <cols>
    <col min="1" max="1" width="8.1640625" customWidth="1"/>
    <col min="2" max="2" width="4.33203125" customWidth="1"/>
    <col min="3" max="3" width="8.5" customWidth="1"/>
    <col min="4" max="4" width="17.1640625" customWidth="1"/>
    <col min="5" max="5" width="13.6640625" customWidth="1"/>
    <col min="6" max="6" width="17.1640625" customWidth="1"/>
    <col min="7" max="7" width="13.6640625" customWidth="1"/>
    <col min="8" max="8" width="17.1640625" customWidth="1"/>
    <col min="9" max="9" width="6.5" customWidth="1"/>
    <col min="10" max="10" width="6.6640625" customWidth="1"/>
    <col min="11" max="11" width="11.1640625" customWidth="1"/>
    <col min="12" max="12" width="6.6640625" customWidth="1"/>
    <col min="13" max="13" width="15.83203125" customWidth="1"/>
    <col min="14" max="14" width="17.6640625" customWidth="1"/>
    <col min="15" max="15" width="18.1640625" customWidth="1"/>
  </cols>
  <sheetData>
    <row r="1" spans="2:13">
      <c r="I1" s="10"/>
    </row>
    <row r="2" spans="2:13" ht="24">
      <c r="B2" s="1"/>
      <c r="G2" s="87"/>
      <c r="H2" s="88"/>
      <c r="I2" s="130"/>
      <c r="J2" s="130"/>
    </row>
    <row r="3" spans="2:13" ht="24" customHeight="1">
      <c r="B3" s="76"/>
      <c r="C3" s="76"/>
      <c r="D3" s="76"/>
      <c r="E3" s="76"/>
      <c r="G3" s="87"/>
      <c r="H3" s="88"/>
      <c r="I3" s="88"/>
    </row>
    <row r="4" spans="2:13" ht="18.75" customHeight="1">
      <c r="B4" s="76"/>
      <c r="C4" s="76"/>
      <c r="D4" s="76"/>
      <c r="E4" s="76"/>
    </row>
    <row r="5" spans="2:13" ht="24">
      <c r="B5" s="33"/>
      <c r="C5" s="33"/>
      <c r="D5" s="33"/>
    </row>
    <row r="6" spans="2:13" ht="45">
      <c r="B6" s="131"/>
      <c r="C6" s="131"/>
      <c r="D6" s="131"/>
      <c r="E6" s="1"/>
      <c r="F6" s="86" t="s">
        <v>137</v>
      </c>
    </row>
    <row r="7" spans="2:13" ht="24">
      <c r="B7" s="1" t="s">
        <v>20</v>
      </c>
      <c r="C7" s="12"/>
      <c r="D7" s="13">
        <f>受給者情報!B8</f>
        <v>3000011357</v>
      </c>
      <c r="E7" s="13"/>
    </row>
    <row r="8" spans="2:13" ht="24">
      <c r="B8" s="12" t="s">
        <v>21</v>
      </c>
      <c r="C8" s="12"/>
      <c r="D8" s="12" t="str">
        <f>受給者情報!C8</f>
        <v>朝原和樹</v>
      </c>
      <c r="E8" t="s">
        <v>41</v>
      </c>
    </row>
    <row r="12" spans="2:13" ht="31">
      <c r="E12" s="52" t="s">
        <v>22</v>
      </c>
      <c r="F12" s="52"/>
      <c r="G12" s="52"/>
    </row>
    <row r="13" spans="2:13" ht="24">
      <c r="I13" s="14"/>
      <c r="M13" s="37"/>
    </row>
    <row r="14" spans="2:13">
      <c r="M14" s="37"/>
    </row>
    <row r="15" spans="2:13" ht="24" customHeight="1">
      <c r="G15" s="132" t="s">
        <v>23</v>
      </c>
      <c r="H15" s="49" t="s">
        <v>24</v>
      </c>
      <c r="I15" s="49"/>
      <c r="M15" s="37"/>
    </row>
    <row r="16" spans="2:13" ht="24" customHeight="1">
      <c r="G16" s="132"/>
      <c r="H16" s="133" t="s">
        <v>25</v>
      </c>
      <c r="I16" s="133"/>
      <c r="J16" s="133"/>
      <c r="M16" s="37"/>
    </row>
    <row r="17" spans="2:13" ht="40.5" customHeight="1">
      <c r="G17" s="50"/>
      <c r="H17" s="133" t="s">
        <v>27</v>
      </c>
      <c r="I17" s="133"/>
      <c r="J17" s="133"/>
      <c r="M17" s="37"/>
    </row>
    <row r="18" spans="2:13">
      <c r="G18" s="51" t="s">
        <v>28</v>
      </c>
      <c r="H18" s="51" t="str">
        <f>事業者情報!C5&amp;"　"&amp;事業者情報!C6</f>
        <v>代表取締役社長　澤田昌志</v>
      </c>
      <c r="M18" s="37"/>
    </row>
    <row r="19" spans="2:13">
      <c r="G19" s="51" t="s">
        <v>29</v>
      </c>
      <c r="H19" s="51" t="str">
        <f>事業者情報!C7&amp;""</f>
        <v>0566-63-6817</v>
      </c>
      <c r="M19" s="37"/>
    </row>
    <row r="20" spans="2:13">
      <c r="G20" s="51" t="s">
        <v>30</v>
      </c>
      <c r="H20" s="51" t="str">
        <f>事業者情報!C8&amp;""</f>
        <v>0566-63-6818</v>
      </c>
      <c r="M20" s="37"/>
    </row>
    <row r="21" spans="2:13">
      <c r="M21" s="37"/>
    </row>
    <row r="22" spans="2:13" ht="24" customHeight="1">
      <c r="B22" s="134" t="s">
        <v>135</v>
      </c>
      <c r="C22" s="134"/>
      <c r="D22" s="134"/>
      <c r="E22" s="134"/>
      <c r="F22" s="134"/>
      <c r="G22" s="134"/>
      <c r="H22" s="134"/>
      <c r="I22" s="134"/>
      <c r="M22" s="37"/>
    </row>
    <row r="23" spans="2:13" ht="24" customHeight="1">
      <c r="B23" s="134"/>
      <c r="C23" s="134"/>
      <c r="D23" s="134"/>
      <c r="E23" s="134"/>
      <c r="F23" s="134"/>
      <c r="G23" s="134"/>
      <c r="H23" s="134"/>
      <c r="I23" s="134"/>
      <c r="M23" s="37"/>
    </row>
    <row r="25" spans="2:13" ht="27">
      <c r="C25" s="98">
        <v>10</v>
      </c>
      <c r="D25" s="98" t="s">
        <v>173</v>
      </c>
      <c r="E25" s="71" t="s">
        <v>32</v>
      </c>
      <c r="F25" s="72">
        <f>H34</f>
        <v>10000</v>
      </c>
      <c r="G25" s="16" t="s">
        <v>33</v>
      </c>
    </row>
    <row r="27" spans="2:13" ht="24.75" customHeight="1">
      <c r="B27" s="55"/>
      <c r="C27" s="56"/>
      <c r="D27" s="64" t="s">
        <v>42</v>
      </c>
      <c r="E27" s="127" t="s">
        <v>133</v>
      </c>
      <c r="F27" s="124"/>
      <c r="G27" s="124"/>
      <c r="H27" s="125"/>
      <c r="I27" s="12"/>
    </row>
    <row r="28" spans="2:13" ht="24.75" customHeight="1">
      <c r="B28" s="55"/>
      <c r="C28" s="56"/>
      <c r="D28" s="60" t="s">
        <v>139</v>
      </c>
      <c r="E28" s="127" t="s">
        <v>140</v>
      </c>
      <c r="F28" s="128"/>
      <c r="G28" s="128"/>
      <c r="H28" s="129"/>
      <c r="I28" s="12"/>
    </row>
    <row r="29" spans="2:13" ht="24.75" customHeight="1">
      <c r="B29" s="57"/>
      <c r="C29" s="56"/>
      <c r="D29" s="60" t="s">
        <v>43</v>
      </c>
      <c r="E29" s="126">
        <v>46010</v>
      </c>
      <c r="F29" s="124"/>
      <c r="G29" s="124"/>
      <c r="H29" s="125"/>
      <c r="I29" s="53"/>
    </row>
    <row r="30" spans="2:13" ht="24.75" customHeight="1">
      <c r="B30" s="57"/>
      <c r="C30" s="56"/>
      <c r="D30" s="65" t="s">
        <v>44</v>
      </c>
      <c r="E30" s="61"/>
      <c r="F30" s="67"/>
      <c r="G30" s="45"/>
      <c r="H30" s="46"/>
      <c r="I30" s="73" t="s">
        <v>45</v>
      </c>
    </row>
    <row r="31" spans="2:13" ht="24.75" customHeight="1">
      <c r="B31" s="57"/>
      <c r="C31" s="56"/>
      <c r="D31" s="62" t="s">
        <v>46</v>
      </c>
      <c r="E31" s="68" t="s">
        <v>35</v>
      </c>
      <c r="F31" s="67"/>
      <c r="G31" s="45"/>
      <c r="H31" s="44">
        <f>H30</f>
        <v>0</v>
      </c>
      <c r="I31" s="74" t="s">
        <v>40</v>
      </c>
    </row>
    <row r="32" spans="2:13" ht="24.75" customHeight="1">
      <c r="B32" s="57"/>
      <c r="C32" s="56"/>
      <c r="D32" s="62"/>
      <c r="E32" s="68" t="s">
        <v>36</v>
      </c>
      <c r="F32" s="67"/>
      <c r="G32" s="45"/>
      <c r="H32" s="45">
        <v>0</v>
      </c>
      <c r="I32" s="74" t="s">
        <v>40</v>
      </c>
    </row>
    <row r="33" spans="2:10" ht="24.75" customHeight="1">
      <c r="B33" s="57"/>
      <c r="C33" s="56"/>
      <c r="D33" s="62"/>
      <c r="E33" s="66" t="s">
        <v>37</v>
      </c>
      <c r="F33" s="69"/>
      <c r="G33" s="43"/>
      <c r="H33" s="59">
        <v>10000</v>
      </c>
      <c r="I33" s="74" t="s">
        <v>40</v>
      </c>
    </row>
    <row r="34" spans="2:10" ht="24">
      <c r="B34" s="57"/>
      <c r="C34" s="56"/>
      <c r="D34" s="42"/>
      <c r="E34" s="38"/>
      <c r="F34" s="38"/>
      <c r="G34" s="63" t="s">
        <v>47</v>
      </c>
      <c r="H34" s="70">
        <f>SUM(H31-H32+H33)</f>
        <v>10000</v>
      </c>
      <c r="I34" s="74" t="s">
        <v>40</v>
      </c>
    </row>
    <row r="35" spans="2:10" ht="24">
      <c r="B35" s="57"/>
      <c r="C35" s="56"/>
      <c r="D35" s="12"/>
      <c r="E35" s="12"/>
      <c r="F35" s="12"/>
      <c r="G35" s="12"/>
      <c r="H35" s="12"/>
      <c r="I35" s="53"/>
    </row>
    <row r="36" spans="2:10" ht="24">
      <c r="B36" s="57"/>
      <c r="C36" s="56"/>
      <c r="D36" s="12"/>
      <c r="E36" s="12"/>
      <c r="F36" s="12"/>
      <c r="G36" s="12"/>
      <c r="H36" s="12"/>
      <c r="I36" s="12"/>
    </row>
    <row r="37" spans="2:10" ht="24">
      <c r="B37" s="57"/>
      <c r="C37" s="56"/>
      <c r="D37" s="12"/>
      <c r="E37" s="12"/>
      <c r="F37" s="12"/>
      <c r="G37" s="12"/>
      <c r="H37" s="12"/>
      <c r="I37" s="12"/>
    </row>
    <row r="38" spans="2:10" ht="24">
      <c r="B38" s="57"/>
      <c r="C38" s="56"/>
      <c r="D38" s="12"/>
      <c r="E38" s="12"/>
      <c r="F38" s="12"/>
      <c r="G38" s="12"/>
      <c r="H38" s="12"/>
      <c r="I38" s="54"/>
    </row>
    <row r="39" spans="2:10" s="11" customFormat="1" ht="20.25" customHeight="1">
      <c r="B39" s="57"/>
      <c r="C39" s="58"/>
      <c r="D39" s="12"/>
      <c r="E39" s="12"/>
      <c r="F39" s="12"/>
      <c r="G39" s="12"/>
      <c r="H39" s="12"/>
      <c r="I39" s="12"/>
      <c r="J39" s="18"/>
    </row>
    <row r="40" spans="2:10" s="11" customFormat="1" ht="20.25" customHeight="1">
      <c r="B40" s="57"/>
      <c r="C40" s="58"/>
      <c r="D40" s="12"/>
      <c r="E40" s="12"/>
      <c r="F40" s="12"/>
      <c r="G40" s="12"/>
      <c r="H40" s="12"/>
      <c r="I40" s="12"/>
    </row>
    <row r="41" spans="2:10" s="11" customFormat="1" ht="20.25" customHeight="1">
      <c r="B41" s="57"/>
      <c r="C41" s="58"/>
      <c r="D41" s="12"/>
      <c r="E41" s="12"/>
      <c r="F41" s="12"/>
      <c r="G41" s="12"/>
      <c r="H41" s="12"/>
      <c r="I41" s="12"/>
    </row>
    <row r="42" spans="2:10" s="11" customFormat="1" ht="20.25" customHeight="1">
      <c r="B42" s="57"/>
      <c r="C42" s="58"/>
      <c r="D42" s="12"/>
      <c r="E42" s="12"/>
      <c r="F42" s="12"/>
      <c r="G42" s="12"/>
      <c r="H42" s="12"/>
      <c r="I42" s="12"/>
    </row>
    <row r="43" spans="2:10" ht="24">
      <c r="B43" s="1"/>
      <c r="C43" s="1"/>
      <c r="D43" s="1"/>
      <c r="E43" s="1"/>
      <c r="F43" s="1"/>
      <c r="G43" s="12"/>
      <c r="H43" s="1"/>
      <c r="I43" s="12"/>
    </row>
    <row r="44" spans="2:10" ht="24">
      <c r="B44" s="12"/>
      <c r="C44" s="12"/>
      <c r="D44" s="12"/>
      <c r="E44" s="12"/>
      <c r="F44" s="12"/>
      <c r="G44" s="12"/>
      <c r="H44" s="12"/>
      <c r="I44" s="41"/>
    </row>
    <row r="45" spans="2:10" ht="24">
      <c r="B45" s="12"/>
      <c r="C45" s="12"/>
      <c r="D45" s="12"/>
      <c r="E45" s="12"/>
      <c r="F45" s="39"/>
      <c r="G45" s="39"/>
      <c r="H45" s="40"/>
      <c r="I45" s="39"/>
    </row>
  </sheetData>
  <mergeCells count="9">
    <mergeCell ref="E27:H27"/>
    <mergeCell ref="E29:H29"/>
    <mergeCell ref="I2:J2"/>
    <mergeCell ref="B6:D6"/>
    <mergeCell ref="G15:G16"/>
    <mergeCell ref="H16:J16"/>
    <mergeCell ref="H17:J17"/>
    <mergeCell ref="B22:I23"/>
    <mergeCell ref="E28:H28"/>
  </mergeCells>
  <phoneticPr fontId="7"/>
  <dataValidations count="1">
    <dataValidation allowBlank="1" showInputMessage="1" showErrorMessage="1" sqref="H2" xr:uid="{4AEFC131-49D5-284C-99BE-CD032BE1C175}"/>
  </dataValidations>
  <pageMargins left="0.7" right="0.7" top="0.75" bottom="0.75" header="0.3" footer="0.3"/>
  <pageSetup paperSize="9" scale="77"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EA825-EC8A-CA46-BF69-57D86A835917}">
  <sheetPr codeName="Sheet9">
    <tabColor theme="7"/>
    <pageSetUpPr fitToPage="1"/>
  </sheetPr>
  <dimension ref="B1:M45"/>
  <sheetViews>
    <sheetView topLeftCell="A14" zoomScaleNormal="100" workbookViewId="0">
      <selection activeCell="L33" sqref="L33"/>
    </sheetView>
  </sheetViews>
  <sheetFormatPr baseColWidth="10" defaultColWidth="8.83203125" defaultRowHeight="18"/>
  <cols>
    <col min="1" max="1" width="8.1640625" customWidth="1"/>
    <col min="2" max="2" width="4.33203125" customWidth="1"/>
    <col min="3" max="3" width="8.5" customWidth="1"/>
    <col min="4" max="4" width="17.1640625" customWidth="1"/>
    <col min="5" max="5" width="13.6640625" customWidth="1"/>
    <col min="6" max="6" width="17.1640625" customWidth="1"/>
    <col min="7" max="7" width="13.6640625" customWidth="1"/>
    <col min="8" max="8" width="17.1640625" customWidth="1"/>
    <col min="9" max="9" width="6.5" customWidth="1"/>
    <col min="10" max="10" width="6.6640625" customWidth="1"/>
    <col min="11" max="11" width="11.1640625" customWidth="1"/>
    <col min="12" max="12" width="6.6640625" customWidth="1"/>
    <col min="13" max="13" width="15.83203125" customWidth="1"/>
    <col min="14" max="14" width="17.6640625" customWidth="1"/>
    <col min="15" max="15" width="18.1640625" customWidth="1"/>
  </cols>
  <sheetData>
    <row r="1" spans="2:13">
      <c r="I1" s="10"/>
    </row>
    <row r="2" spans="2:13" ht="24">
      <c r="B2" s="1"/>
      <c r="G2" s="87"/>
      <c r="H2" s="88"/>
      <c r="I2" s="130"/>
      <c r="J2" s="130"/>
    </row>
    <row r="3" spans="2:13" ht="24" customHeight="1">
      <c r="B3" s="76"/>
      <c r="C3" s="76"/>
      <c r="D3" s="76"/>
      <c r="E3" s="76"/>
      <c r="G3" s="87"/>
      <c r="H3" s="88"/>
      <c r="I3" s="88"/>
    </row>
    <row r="4" spans="2:13" ht="18.75" customHeight="1">
      <c r="B4" s="76"/>
      <c r="C4" s="76"/>
      <c r="D4" s="76"/>
      <c r="E4" s="76"/>
    </row>
    <row r="5" spans="2:13" ht="24">
      <c r="B5" s="33"/>
      <c r="C5" s="33"/>
      <c r="D5" s="33"/>
    </row>
    <row r="6" spans="2:13" ht="45">
      <c r="B6" s="131"/>
      <c r="C6" s="131"/>
      <c r="D6" s="131"/>
      <c r="E6" s="1"/>
      <c r="F6" s="86" t="s">
        <v>137</v>
      </c>
    </row>
    <row r="7" spans="2:13" ht="24">
      <c r="B7" s="1" t="s">
        <v>20</v>
      </c>
      <c r="C7" s="12"/>
      <c r="D7" s="13">
        <f>受給者情報!B9</f>
        <v>6000008646</v>
      </c>
      <c r="E7" s="13"/>
    </row>
    <row r="8" spans="2:13" ht="24">
      <c r="B8" s="12" t="s">
        <v>21</v>
      </c>
      <c r="C8" s="12"/>
      <c r="D8" s="12" t="str">
        <f>受給者情報!C9</f>
        <v>西出崇</v>
      </c>
      <c r="E8" t="s">
        <v>41</v>
      </c>
    </row>
    <row r="12" spans="2:13" ht="31">
      <c r="E12" s="52" t="s">
        <v>22</v>
      </c>
      <c r="F12" s="52"/>
      <c r="G12" s="52"/>
    </row>
    <row r="13" spans="2:13" ht="24">
      <c r="I13" s="14"/>
      <c r="M13" s="37"/>
    </row>
    <row r="14" spans="2:13">
      <c r="M14" s="37"/>
    </row>
    <row r="15" spans="2:13" ht="24" customHeight="1">
      <c r="G15" s="132" t="s">
        <v>23</v>
      </c>
      <c r="H15" s="49" t="s">
        <v>24</v>
      </c>
      <c r="I15" s="49"/>
      <c r="M15" s="37"/>
    </row>
    <row r="16" spans="2:13" ht="24" customHeight="1">
      <c r="G16" s="132"/>
      <c r="H16" s="133" t="s">
        <v>25</v>
      </c>
      <c r="I16" s="133"/>
      <c r="J16" s="133"/>
      <c r="M16" s="37"/>
    </row>
    <row r="17" spans="2:13" ht="40.5" customHeight="1">
      <c r="G17" s="50"/>
      <c r="H17" s="133" t="s">
        <v>27</v>
      </c>
      <c r="I17" s="133"/>
      <c r="J17" s="133"/>
      <c r="M17" s="37"/>
    </row>
    <row r="18" spans="2:13">
      <c r="G18" s="51" t="s">
        <v>28</v>
      </c>
      <c r="H18" s="51" t="str">
        <f>事業者情報!C5&amp;"　"&amp;事業者情報!C6</f>
        <v>代表取締役社長　澤田昌志</v>
      </c>
      <c r="M18" s="37"/>
    </row>
    <row r="19" spans="2:13">
      <c r="G19" s="51" t="s">
        <v>29</v>
      </c>
      <c r="H19" s="51" t="str">
        <f>事業者情報!C7&amp;""</f>
        <v>0566-63-6817</v>
      </c>
      <c r="M19" s="37"/>
    </row>
    <row r="20" spans="2:13">
      <c r="G20" s="51" t="s">
        <v>30</v>
      </c>
      <c r="H20" s="51" t="str">
        <f>事業者情報!C8&amp;""</f>
        <v>0566-63-6818</v>
      </c>
      <c r="M20" s="37"/>
    </row>
    <row r="21" spans="2:13">
      <c r="M21" s="37"/>
    </row>
    <row r="22" spans="2:13" ht="24" customHeight="1">
      <c r="B22" s="134" t="s">
        <v>135</v>
      </c>
      <c r="C22" s="134"/>
      <c r="D22" s="134"/>
      <c r="E22" s="134"/>
      <c r="F22" s="134"/>
      <c r="G22" s="134"/>
      <c r="H22" s="134"/>
      <c r="I22" s="134"/>
      <c r="M22" s="37"/>
    </row>
    <row r="23" spans="2:13" ht="24" customHeight="1">
      <c r="B23" s="134"/>
      <c r="C23" s="134"/>
      <c r="D23" s="134"/>
      <c r="E23" s="134"/>
      <c r="F23" s="134"/>
      <c r="G23" s="134"/>
      <c r="H23" s="134"/>
      <c r="I23" s="134"/>
      <c r="M23" s="37"/>
    </row>
    <row r="25" spans="2:13" ht="27">
      <c r="C25" s="98">
        <v>10</v>
      </c>
      <c r="D25" s="98" t="s">
        <v>173</v>
      </c>
      <c r="E25" s="71" t="s">
        <v>32</v>
      </c>
      <c r="F25" s="72">
        <f>H34</f>
        <v>10000</v>
      </c>
      <c r="G25" s="16" t="s">
        <v>33</v>
      </c>
    </row>
    <row r="27" spans="2:13" ht="24.75" customHeight="1">
      <c r="B27" s="55"/>
      <c r="C27" s="56"/>
      <c r="D27" s="64" t="s">
        <v>42</v>
      </c>
      <c r="E27" s="123" t="s">
        <v>157</v>
      </c>
      <c r="F27" s="124"/>
      <c r="G27" s="124"/>
      <c r="H27" s="125"/>
      <c r="I27" s="12"/>
    </row>
    <row r="28" spans="2:13" ht="24.75" customHeight="1">
      <c r="B28" s="55"/>
      <c r="C28" s="56"/>
      <c r="D28" s="60" t="s">
        <v>139</v>
      </c>
      <c r="E28" s="127" t="s">
        <v>140</v>
      </c>
      <c r="F28" s="128"/>
      <c r="G28" s="128"/>
      <c r="H28" s="129"/>
      <c r="I28" s="12"/>
    </row>
    <row r="29" spans="2:13" ht="24.75" customHeight="1">
      <c r="B29" s="57"/>
      <c r="C29" s="56"/>
      <c r="D29" s="60" t="s">
        <v>43</v>
      </c>
      <c r="E29" s="126">
        <v>46010</v>
      </c>
      <c r="F29" s="124"/>
      <c r="G29" s="124"/>
      <c r="H29" s="125"/>
      <c r="I29" s="53"/>
    </row>
    <row r="30" spans="2:13" ht="24.75" customHeight="1">
      <c r="B30" s="57"/>
      <c r="C30" s="56"/>
      <c r="D30" s="65" t="s">
        <v>44</v>
      </c>
      <c r="E30" s="61"/>
      <c r="F30" s="67"/>
      <c r="G30" s="45"/>
      <c r="H30" s="46"/>
      <c r="I30" s="73" t="s">
        <v>45</v>
      </c>
    </row>
    <row r="31" spans="2:13" ht="24.75" customHeight="1">
      <c r="B31" s="57"/>
      <c r="C31" s="56"/>
      <c r="D31" s="62" t="s">
        <v>46</v>
      </c>
      <c r="E31" s="68" t="s">
        <v>35</v>
      </c>
      <c r="F31" s="67"/>
      <c r="G31" s="45"/>
      <c r="H31" s="44">
        <f>H30</f>
        <v>0</v>
      </c>
      <c r="I31" s="74" t="s">
        <v>40</v>
      </c>
    </row>
    <row r="32" spans="2:13" ht="24.75" customHeight="1">
      <c r="B32" s="57"/>
      <c r="C32" s="56"/>
      <c r="D32" s="62"/>
      <c r="E32" s="68" t="s">
        <v>36</v>
      </c>
      <c r="F32" s="67"/>
      <c r="G32" s="45"/>
      <c r="H32" s="45">
        <v>0</v>
      </c>
      <c r="I32" s="74" t="s">
        <v>40</v>
      </c>
    </row>
    <row r="33" spans="2:10" ht="24.75" customHeight="1">
      <c r="B33" s="57"/>
      <c r="C33" s="56"/>
      <c r="D33" s="62"/>
      <c r="E33" s="66" t="s">
        <v>37</v>
      </c>
      <c r="F33" s="69"/>
      <c r="G33" s="43"/>
      <c r="H33" s="59">
        <v>10000</v>
      </c>
      <c r="I33" s="74" t="s">
        <v>40</v>
      </c>
    </row>
    <row r="34" spans="2:10" ht="24">
      <c r="B34" s="57"/>
      <c r="C34" s="56"/>
      <c r="D34" s="42"/>
      <c r="E34" s="38"/>
      <c r="F34" s="38"/>
      <c r="G34" s="63" t="s">
        <v>47</v>
      </c>
      <c r="H34" s="70">
        <f>SUM(H31-H32+H33)</f>
        <v>10000</v>
      </c>
      <c r="I34" s="74" t="s">
        <v>40</v>
      </c>
    </row>
    <row r="35" spans="2:10" ht="24">
      <c r="B35" s="57"/>
      <c r="C35" s="56"/>
      <c r="D35" s="12"/>
      <c r="E35" s="12"/>
      <c r="F35" s="12"/>
      <c r="G35" s="12"/>
      <c r="H35" s="12"/>
      <c r="I35" s="53"/>
    </row>
    <row r="36" spans="2:10" ht="24">
      <c r="B36" s="57"/>
      <c r="C36" s="56"/>
      <c r="D36" s="12"/>
      <c r="E36" s="12"/>
      <c r="F36" s="12"/>
      <c r="G36" s="12"/>
      <c r="H36" s="12"/>
      <c r="I36" s="12"/>
    </row>
    <row r="37" spans="2:10" ht="24">
      <c r="B37" s="57"/>
      <c r="C37" s="56"/>
      <c r="D37" s="12"/>
      <c r="E37" s="12"/>
      <c r="F37" s="12"/>
      <c r="G37" s="12"/>
      <c r="H37" s="12"/>
      <c r="I37" s="12"/>
    </row>
    <row r="38" spans="2:10" ht="24">
      <c r="B38" s="57"/>
      <c r="C38" s="56"/>
      <c r="D38" s="12"/>
      <c r="E38" s="12"/>
      <c r="F38" s="12"/>
      <c r="G38" s="12"/>
      <c r="H38" s="12"/>
      <c r="I38" s="54"/>
    </row>
    <row r="39" spans="2:10" s="11" customFormat="1" ht="20.25" customHeight="1">
      <c r="B39" s="57"/>
      <c r="C39" s="58"/>
      <c r="D39" s="12"/>
      <c r="E39" s="12"/>
      <c r="F39" s="12"/>
      <c r="G39" s="12"/>
      <c r="H39" s="12"/>
      <c r="I39" s="12"/>
      <c r="J39" s="18"/>
    </row>
    <row r="40" spans="2:10" s="11" customFormat="1" ht="20.25" customHeight="1">
      <c r="B40" s="57"/>
      <c r="C40" s="58"/>
      <c r="D40" s="12"/>
      <c r="E40" s="12"/>
      <c r="F40" s="12"/>
      <c r="G40" s="12"/>
      <c r="H40" s="12"/>
      <c r="I40" s="12"/>
    </row>
    <row r="41" spans="2:10" s="11" customFormat="1" ht="20.25" customHeight="1">
      <c r="B41" s="57"/>
      <c r="C41" s="58"/>
      <c r="D41" s="12"/>
      <c r="E41" s="12"/>
      <c r="F41" s="12"/>
      <c r="G41" s="12"/>
      <c r="H41" s="12"/>
      <c r="I41" s="12"/>
    </row>
    <row r="42" spans="2:10" s="11" customFormat="1" ht="20.25" customHeight="1">
      <c r="B42" s="57"/>
      <c r="C42" s="58"/>
      <c r="D42" s="12"/>
      <c r="E42" s="12"/>
      <c r="F42" s="12"/>
      <c r="G42" s="12"/>
      <c r="H42" s="12"/>
      <c r="I42" s="12"/>
    </row>
    <row r="43" spans="2:10" ht="24">
      <c r="B43" s="1"/>
      <c r="C43" s="1"/>
      <c r="D43" s="1"/>
      <c r="E43" s="1"/>
      <c r="F43" s="1"/>
      <c r="G43" s="12"/>
      <c r="H43" s="1"/>
      <c r="I43" s="12"/>
    </row>
    <row r="44" spans="2:10" ht="24">
      <c r="B44" s="12"/>
      <c r="C44" s="12"/>
      <c r="D44" s="12"/>
      <c r="E44" s="12"/>
      <c r="F44" s="12"/>
      <c r="G44" s="12"/>
      <c r="H44" s="12"/>
      <c r="I44" s="41"/>
    </row>
    <row r="45" spans="2:10" ht="24">
      <c r="B45" s="12"/>
      <c r="C45" s="12"/>
      <c r="D45" s="12"/>
      <c r="E45" s="12"/>
      <c r="F45" s="39"/>
      <c r="G45" s="39"/>
      <c r="H45" s="40"/>
      <c r="I45" s="39"/>
    </row>
  </sheetData>
  <mergeCells count="9">
    <mergeCell ref="E27:H27"/>
    <mergeCell ref="E29:H29"/>
    <mergeCell ref="I2:J2"/>
    <mergeCell ref="B6:D6"/>
    <mergeCell ref="G15:G16"/>
    <mergeCell ref="H16:J16"/>
    <mergeCell ref="H17:J17"/>
    <mergeCell ref="B22:I23"/>
    <mergeCell ref="E28:H28"/>
  </mergeCells>
  <phoneticPr fontId="7"/>
  <dataValidations count="1">
    <dataValidation allowBlank="1" showInputMessage="1" showErrorMessage="1" sqref="H2" xr:uid="{5B5A8B13-D0A8-C74A-B6FA-516190C893EE}"/>
  </dataValidations>
  <pageMargins left="0.7" right="0.7" top="0.75" bottom="0.75" header="0.3" footer="0.3"/>
  <pageSetup paperSize="9" scale="77"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4C19D-8E95-A448-A36A-03E4459754C9}">
  <sheetPr codeName="Sheet10">
    <tabColor theme="7"/>
    <pageSetUpPr fitToPage="1"/>
  </sheetPr>
  <dimension ref="B1:M45"/>
  <sheetViews>
    <sheetView topLeftCell="A19" zoomScale="107" zoomScaleNormal="100" workbookViewId="0">
      <selection activeCell="H32" sqref="H32"/>
    </sheetView>
  </sheetViews>
  <sheetFormatPr baseColWidth="10" defaultColWidth="8.83203125" defaultRowHeight="18"/>
  <cols>
    <col min="1" max="1" width="8.1640625" customWidth="1"/>
    <col min="2" max="2" width="4.33203125" customWidth="1"/>
    <col min="3" max="3" width="8.5" customWidth="1"/>
    <col min="4" max="4" width="17.1640625" customWidth="1"/>
    <col min="5" max="5" width="13.6640625" customWidth="1"/>
    <col min="6" max="6" width="17.1640625" customWidth="1"/>
    <col min="7" max="7" width="13.6640625" customWidth="1"/>
    <col min="8" max="8" width="17.1640625" customWidth="1"/>
    <col min="9" max="9" width="6.5" customWidth="1"/>
    <col min="10" max="10" width="6.6640625" customWidth="1"/>
    <col min="11" max="11" width="11.1640625" customWidth="1"/>
    <col min="12" max="12" width="6.6640625" customWidth="1"/>
    <col min="13" max="13" width="15.83203125" customWidth="1"/>
    <col min="14" max="14" width="17.6640625" customWidth="1"/>
    <col min="15" max="15" width="18.1640625" customWidth="1"/>
  </cols>
  <sheetData>
    <row r="1" spans="2:13">
      <c r="I1" s="10"/>
    </row>
    <row r="2" spans="2:13" ht="24">
      <c r="B2" s="1"/>
      <c r="G2" s="87"/>
      <c r="H2" s="88"/>
      <c r="I2" s="130"/>
      <c r="J2" s="130"/>
    </row>
    <row r="3" spans="2:13" ht="24" customHeight="1">
      <c r="B3" s="76"/>
      <c r="C3" s="76"/>
      <c r="D3" s="76"/>
      <c r="E3" s="76"/>
      <c r="G3" s="87"/>
      <c r="H3" s="88"/>
      <c r="I3" s="88"/>
    </row>
    <row r="4" spans="2:13" ht="18.75" customHeight="1">
      <c r="B4" s="76"/>
      <c r="C4" s="76"/>
      <c r="D4" s="76"/>
      <c r="E4" s="76"/>
    </row>
    <row r="5" spans="2:13" ht="24">
      <c r="B5" s="33"/>
      <c r="C5" s="33"/>
      <c r="D5" s="33"/>
    </row>
    <row r="6" spans="2:13" ht="45">
      <c r="B6" s="131"/>
      <c r="C6" s="131"/>
      <c r="D6" s="131"/>
      <c r="E6" s="1"/>
      <c r="F6" s="86" t="s">
        <v>137</v>
      </c>
    </row>
    <row r="7" spans="2:13" ht="24">
      <c r="B7" s="1" t="s">
        <v>20</v>
      </c>
      <c r="C7" s="12"/>
      <c r="D7" s="13">
        <f>受給者情報!B10</f>
        <v>1180</v>
      </c>
      <c r="E7" s="13"/>
    </row>
    <row r="8" spans="2:13" ht="24">
      <c r="B8" s="12" t="s">
        <v>21</v>
      </c>
      <c r="C8" s="12"/>
      <c r="D8" s="12" t="str">
        <f>受給者情報!C10</f>
        <v>村瀬昭裕</v>
      </c>
      <c r="E8" t="s">
        <v>41</v>
      </c>
    </row>
    <row r="12" spans="2:13" ht="31">
      <c r="E12" s="52" t="s">
        <v>22</v>
      </c>
      <c r="F12" s="52"/>
      <c r="G12" s="52"/>
    </row>
    <row r="13" spans="2:13" ht="24">
      <c r="I13" s="14"/>
      <c r="M13" s="37"/>
    </row>
    <row r="14" spans="2:13">
      <c r="M14" s="37"/>
    </row>
    <row r="15" spans="2:13" ht="24" customHeight="1">
      <c r="G15" s="132" t="s">
        <v>23</v>
      </c>
      <c r="H15" s="49" t="s">
        <v>24</v>
      </c>
      <c r="I15" s="49"/>
      <c r="M15" s="37"/>
    </row>
    <row r="16" spans="2:13" ht="24" customHeight="1">
      <c r="G16" s="132"/>
      <c r="H16" s="133" t="s">
        <v>25</v>
      </c>
      <c r="I16" s="133"/>
      <c r="J16" s="133"/>
      <c r="M16" s="37"/>
    </row>
    <row r="17" spans="2:13" ht="40.5" customHeight="1">
      <c r="G17" s="50"/>
      <c r="H17" s="133" t="s">
        <v>27</v>
      </c>
      <c r="I17" s="133"/>
      <c r="J17" s="133"/>
      <c r="M17" s="37"/>
    </row>
    <row r="18" spans="2:13">
      <c r="G18" s="51" t="s">
        <v>28</v>
      </c>
      <c r="H18" s="51" t="str">
        <f>事業者情報!C5&amp;"　"&amp;事業者情報!C6</f>
        <v>代表取締役社長　澤田昌志</v>
      </c>
      <c r="M18" s="37"/>
    </row>
    <row r="19" spans="2:13">
      <c r="G19" s="51" t="s">
        <v>29</v>
      </c>
      <c r="H19" s="51" t="str">
        <f>事業者情報!C7&amp;""</f>
        <v>0566-63-6817</v>
      </c>
      <c r="M19" s="37"/>
    </row>
    <row r="20" spans="2:13">
      <c r="G20" s="51" t="s">
        <v>30</v>
      </c>
      <c r="H20" s="51" t="str">
        <f>事業者情報!C8&amp;""</f>
        <v>0566-63-6818</v>
      </c>
      <c r="M20" s="37"/>
    </row>
    <row r="21" spans="2:13">
      <c r="M21" s="37"/>
    </row>
    <row r="22" spans="2:13" ht="24" customHeight="1">
      <c r="B22" s="134" t="s">
        <v>135</v>
      </c>
      <c r="C22" s="134"/>
      <c r="D22" s="134"/>
      <c r="E22" s="134"/>
      <c r="F22" s="134"/>
      <c r="G22" s="134"/>
      <c r="H22" s="134"/>
      <c r="I22" s="134"/>
      <c r="M22" s="37"/>
    </row>
    <row r="23" spans="2:13" ht="24" customHeight="1">
      <c r="B23" s="134"/>
      <c r="C23" s="134"/>
      <c r="D23" s="134"/>
      <c r="E23" s="134"/>
      <c r="F23" s="134"/>
      <c r="G23" s="134"/>
      <c r="H23" s="134"/>
      <c r="I23" s="134"/>
      <c r="M23" s="37"/>
    </row>
    <row r="25" spans="2:13" ht="27">
      <c r="C25" s="98">
        <v>9</v>
      </c>
      <c r="D25" s="98" t="s">
        <v>173</v>
      </c>
      <c r="E25" s="71" t="s">
        <v>32</v>
      </c>
      <c r="F25" s="72">
        <f>H34</f>
        <v>439710</v>
      </c>
      <c r="G25" s="16" t="s">
        <v>33</v>
      </c>
    </row>
    <row r="27" spans="2:13" ht="24.75" customHeight="1">
      <c r="B27" s="55"/>
      <c r="C27" s="56"/>
      <c r="D27" s="64" t="s">
        <v>42</v>
      </c>
      <c r="E27" s="123" t="s">
        <v>155</v>
      </c>
      <c r="F27" s="124"/>
      <c r="G27" s="124"/>
      <c r="H27" s="125"/>
      <c r="I27" s="12"/>
    </row>
    <row r="28" spans="2:13" ht="24.75" customHeight="1">
      <c r="B28" s="55"/>
      <c r="C28" s="56"/>
      <c r="D28" s="60" t="s">
        <v>139</v>
      </c>
      <c r="E28" s="135" t="s">
        <v>140</v>
      </c>
      <c r="F28" s="124"/>
      <c r="G28" s="124"/>
      <c r="H28" s="125"/>
      <c r="I28" s="12"/>
    </row>
    <row r="29" spans="2:13" ht="24.75" customHeight="1">
      <c r="B29" s="57"/>
      <c r="C29" s="56"/>
      <c r="D29" s="60" t="s">
        <v>43</v>
      </c>
      <c r="E29" s="126">
        <v>45981</v>
      </c>
      <c r="F29" s="124"/>
      <c r="G29" s="124"/>
      <c r="H29" s="125"/>
      <c r="I29" s="53"/>
    </row>
    <row r="30" spans="2:13" ht="24.75" customHeight="1">
      <c r="B30" s="57"/>
      <c r="C30" s="56"/>
      <c r="D30" s="65" t="s">
        <v>44</v>
      </c>
      <c r="E30" s="61"/>
      <c r="F30" s="67"/>
      <c r="G30" s="45"/>
      <c r="H30" s="104">
        <v>429710</v>
      </c>
      <c r="I30" s="73" t="s">
        <v>45</v>
      </c>
    </row>
    <row r="31" spans="2:13" ht="24.75" customHeight="1">
      <c r="B31" s="57"/>
      <c r="C31" s="56"/>
      <c r="D31" s="62" t="s">
        <v>46</v>
      </c>
      <c r="E31" s="68" t="s">
        <v>35</v>
      </c>
      <c r="F31" s="67"/>
      <c r="G31" s="45"/>
      <c r="H31" s="101">
        <f>H30</f>
        <v>429710</v>
      </c>
      <c r="I31" s="74" t="s">
        <v>40</v>
      </c>
    </row>
    <row r="32" spans="2:13" ht="24.75" customHeight="1">
      <c r="B32" s="57"/>
      <c r="C32" s="56"/>
      <c r="D32" s="62"/>
      <c r="E32" s="68" t="s">
        <v>36</v>
      </c>
      <c r="F32" s="67"/>
      <c r="G32" s="45"/>
      <c r="H32" s="102">
        <v>0</v>
      </c>
      <c r="I32" s="74" t="s">
        <v>40</v>
      </c>
    </row>
    <row r="33" spans="2:10" ht="24.75" customHeight="1">
      <c r="B33" s="57"/>
      <c r="C33" s="56"/>
      <c r="D33" s="62"/>
      <c r="E33" s="66" t="s">
        <v>37</v>
      </c>
      <c r="F33" s="69"/>
      <c r="G33" s="43"/>
      <c r="H33" s="103">
        <v>10000</v>
      </c>
      <c r="I33" s="74" t="s">
        <v>40</v>
      </c>
    </row>
    <row r="34" spans="2:10" ht="24">
      <c r="B34" s="57"/>
      <c r="C34" s="56"/>
      <c r="D34" s="42"/>
      <c r="E34" s="38"/>
      <c r="F34" s="38"/>
      <c r="G34" s="63" t="s">
        <v>47</v>
      </c>
      <c r="H34" s="96">
        <f>SUM(H31-H32+H33)</f>
        <v>439710</v>
      </c>
      <c r="I34" s="74" t="s">
        <v>40</v>
      </c>
    </row>
    <row r="35" spans="2:10" ht="24">
      <c r="B35" s="57"/>
      <c r="C35" s="56"/>
      <c r="D35" s="12"/>
      <c r="E35" s="12"/>
      <c r="F35" s="12"/>
      <c r="G35" s="12"/>
      <c r="H35" s="105"/>
      <c r="I35" s="53"/>
    </row>
    <row r="36" spans="2:10" ht="24">
      <c r="B36" s="57"/>
      <c r="C36" s="56"/>
      <c r="D36" s="12"/>
      <c r="E36" s="12"/>
      <c r="F36" s="12"/>
      <c r="G36" s="12"/>
      <c r="H36" s="105"/>
      <c r="I36" s="12"/>
    </row>
    <row r="37" spans="2:10" ht="24">
      <c r="B37" s="57"/>
      <c r="C37" s="56"/>
      <c r="D37" s="12"/>
      <c r="E37" s="12"/>
      <c r="F37" s="12"/>
      <c r="G37" s="12"/>
      <c r="H37" s="12"/>
      <c r="I37" s="12"/>
    </row>
    <row r="38" spans="2:10" ht="24">
      <c r="B38" s="57"/>
      <c r="C38" s="56"/>
      <c r="D38" s="12"/>
      <c r="E38" s="12"/>
      <c r="F38" s="12"/>
      <c r="G38" s="12"/>
      <c r="H38" s="12"/>
      <c r="I38" s="54"/>
    </row>
    <row r="39" spans="2:10" s="11" customFormat="1" ht="20.25" customHeight="1">
      <c r="B39" s="57"/>
      <c r="C39" s="58"/>
      <c r="D39" s="12"/>
      <c r="E39" s="12"/>
      <c r="F39" s="12"/>
      <c r="G39" s="12"/>
      <c r="H39" s="12"/>
      <c r="I39" s="12"/>
      <c r="J39" s="18"/>
    </row>
    <row r="40" spans="2:10" s="11" customFormat="1" ht="20.25" customHeight="1">
      <c r="B40" s="57"/>
      <c r="C40" s="58"/>
      <c r="D40" s="12"/>
      <c r="E40" s="12"/>
      <c r="F40" s="12"/>
      <c r="G40" s="12"/>
      <c r="H40" s="12"/>
      <c r="I40" s="12"/>
    </row>
    <row r="41" spans="2:10" s="11" customFormat="1" ht="20.25" customHeight="1">
      <c r="B41" s="57"/>
      <c r="C41" s="58"/>
      <c r="D41" s="12"/>
      <c r="E41" s="12"/>
      <c r="F41" s="12"/>
      <c r="G41" s="12"/>
      <c r="H41" s="12"/>
      <c r="I41" s="12"/>
    </row>
    <row r="42" spans="2:10" s="11" customFormat="1" ht="20.25" customHeight="1">
      <c r="B42" s="57"/>
      <c r="C42" s="58"/>
      <c r="D42" s="12"/>
      <c r="E42" s="12"/>
      <c r="F42" s="12"/>
      <c r="G42" s="12"/>
      <c r="H42" s="12"/>
      <c r="I42" s="12"/>
    </row>
    <row r="43" spans="2:10" ht="24">
      <c r="B43" s="1"/>
      <c r="C43" s="1"/>
      <c r="D43" s="1"/>
      <c r="E43" s="1"/>
      <c r="F43" s="1"/>
      <c r="G43" s="12"/>
      <c r="H43" s="1"/>
      <c r="I43" s="12"/>
    </row>
    <row r="44" spans="2:10" ht="24">
      <c r="B44" s="12"/>
      <c r="C44" s="12"/>
      <c r="D44" s="12"/>
      <c r="E44" s="12"/>
      <c r="F44" s="12"/>
      <c r="G44" s="12"/>
      <c r="H44" s="12"/>
      <c r="I44" s="41"/>
    </row>
    <row r="45" spans="2:10" ht="24">
      <c r="B45" s="12"/>
      <c r="C45" s="12"/>
      <c r="D45" s="12"/>
      <c r="E45" s="12"/>
      <c r="F45" s="39"/>
      <c r="G45" s="39"/>
      <c r="H45" s="40"/>
      <c r="I45" s="39"/>
    </row>
  </sheetData>
  <mergeCells count="9">
    <mergeCell ref="E27:H27"/>
    <mergeCell ref="E29:H29"/>
    <mergeCell ref="I2:J2"/>
    <mergeCell ref="B6:D6"/>
    <mergeCell ref="G15:G16"/>
    <mergeCell ref="H16:J16"/>
    <mergeCell ref="H17:J17"/>
    <mergeCell ref="B22:I23"/>
    <mergeCell ref="E28:H28"/>
  </mergeCells>
  <phoneticPr fontId="7"/>
  <dataValidations count="1">
    <dataValidation allowBlank="1" showInputMessage="1" showErrorMessage="1" sqref="H2" xr:uid="{2C153D56-9C29-9448-8299-1EC93F84E24E}"/>
  </dataValidations>
  <pageMargins left="0.7" right="0.7" top="0.75" bottom="0.75" header="0.3" footer="0.3"/>
  <pageSetup paperSize="9" scale="77"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49C7D-1707-C443-B2F3-AC9D75F91AEB}">
  <sheetPr codeName="Sheet11">
    <tabColor theme="7"/>
    <pageSetUpPr fitToPage="1"/>
  </sheetPr>
  <dimension ref="B1:M45"/>
  <sheetViews>
    <sheetView topLeftCell="A14" zoomScaleNormal="100" workbookViewId="0">
      <selection activeCell="H32" sqref="H32"/>
    </sheetView>
  </sheetViews>
  <sheetFormatPr baseColWidth="10" defaultColWidth="8.83203125" defaultRowHeight="18"/>
  <cols>
    <col min="1" max="1" width="8.1640625" customWidth="1"/>
    <col min="2" max="2" width="4.33203125" customWidth="1"/>
    <col min="3" max="3" width="8.5" customWidth="1"/>
    <col min="4" max="4" width="17.1640625" customWidth="1"/>
    <col min="5" max="5" width="13.6640625" customWidth="1"/>
    <col min="6" max="6" width="17.1640625" customWidth="1"/>
    <col min="7" max="7" width="13.6640625" customWidth="1"/>
    <col min="8" max="8" width="17.1640625" customWidth="1"/>
    <col min="9" max="9" width="6.5" customWidth="1"/>
    <col min="10" max="10" width="6.6640625" customWidth="1"/>
    <col min="11" max="11" width="11.1640625" customWidth="1"/>
    <col min="12" max="12" width="6.6640625" customWidth="1"/>
    <col min="13" max="13" width="15.83203125" customWidth="1"/>
    <col min="14" max="14" width="17.6640625" customWidth="1"/>
    <col min="15" max="15" width="18.1640625" customWidth="1"/>
  </cols>
  <sheetData>
    <row r="1" spans="2:13">
      <c r="I1" s="10"/>
    </row>
    <row r="2" spans="2:13" ht="24">
      <c r="B2" s="1"/>
      <c r="G2" s="87"/>
      <c r="H2" s="88"/>
      <c r="I2" s="130"/>
      <c r="J2" s="130"/>
    </row>
    <row r="3" spans="2:13" ht="24" customHeight="1">
      <c r="B3" s="76"/>
      <c r="C3" s="76"/>
      <c r="D3" s="76"/>
      <c r="E3" s="76"/>
      <c r="G3" s="87"/>
      <c r="H3" s="88"/>
      <c r="I3" s="88"/>
    </row>
    <row r="4" spans="2:13" ht="18.75" customHeight="1">
      <c r="B4" s="76"/>
      <c r="C4" s="76"/>
      <c r="D4" s="76"/>
      <c r="E4" s="76"/>
    </row>
    <row r="5" spans="2:13" ht="24">
      <c r="B5" s="33"/>
      <c r="C5" s="33"/>
      <c r="D5" s="33"/>
    </row>
    <row r="6" spans="2:13" ht="45">
      <c r="B6" s="131"/>
      <c r="C6" s="131"/>
      <c r="D6" s="131"/>
      <c r="E6" s="1"/>
      <c r="F6" s="86" t="s">
        <v>137</v>
      </c>
    </row>
    <row r="7" spans="2:13" ht="24">
      <c r="B7" s="1" t="s">
        <v>20</v>
      </c>
      <c r="C7" s="12"/>
      <c r="D7" s="10">
        <v>122663</v>
      </c>
      <c r="E7" s="13"/>
    </row>
    <row r="8" spans="2:13" ht="24">
      <c r="B8" s="12" t="s">
        <v>21</v>
      </c>
      <c r="C8" s="12"/>
      <c r="D8" s="12" t="str">
        <f>受給者情報!C11</f>
        <v>天野　正視</v>
      </c>
      <c r="E8" t="s">
        <v>41</v>
      </c>
    </row>
    <row r="12" spans="2:13" ht="31">
      <c r="E12" s="52" t="s">
        <v>22</v>
      </c>
      <c r="F12" s="52"/>
      <c r="G12" s="52"/>
    </row>
    <row r="13" spans="2:13" ht="24">
      <c r="I13" s="14"/>
      <c r="M13" s="37"/>
    </row>
    <row r="14" spans="2:13">
      <c r="M14" s="37"/>
    </row>
    <row r="15" spans="2:13" ht="24" customHeight="1">
      <c r="G15" s="132" t="s">
        <v>23</v>
      </c>
      <c r="H15" s="49" t="s">
        <v>24</v>
      </c>
      <c r="I15" s="49"/>
      <c r="M15" s="37"/>
    </row>
    <row r="16" spans="2:13" ht="24" customHeight="1">
      <c r="G16" s="132"/>
      <c r="H16" s="133" t="s">
        <v>25</v>
      </c>
      <c r="I16" s="133"/>
      <c r="J16" s="133"/>
      <c r="M16" s="37"/>
    </row>
    <row r="17" spans="2:13" ht="40.5" customHeight="1">
      <c r="G17" s="50"/>
      <c r="H17" s="133" t="s">
        <v>27</v>
      </c>
      <c r="I17" s="133"/>
      <c r="J17" s="133"/>
      <c r="M17" s="37"/>
    </row>
    <row r="18" spans="2:13">
      <c r="G18" s="51" t="s">
        <v>28</v>
      </c>
      <c r="H18" s="51" t="str">
        <f>事業者情報!C5&amp;"　"&amp;事業者情報!C6</f>
        <v>代表取締役社長　澤田昌志</v>
      </c>
      <c r="M18" s="37"/>
    </row>
    <row r="19" spans="2:13">
      <c r="G19" s="51" t="s">
        <v>29</v>
      </c>
      <c r="H19" s="51" t="str">
        <f>事業者情報!C7&amp;""</f>
        <v>0566-63-6817</v>
      </c>
      <c r="M19" s="37"/>
    </row>
    <row r="20" spans="2:13">
      <c r="G20" s="51" t="s">
        <v>30</v>
      </c>
      <c r="H20" s="51" t="str">
        <f>事業者情報!C8&amp;""</f>
        <v>0566-63-6818</v>
      </c>
      <c r="M20" s="37"/>
    </row>
    <row r="21" spans="2:13">
      <c r="M21" s="37"/>
    </row>
    <row r="22" spans="2:13" ht="24" customHeight="1">
      <c r="B22" s="134" t="s">
        <v>135</v>
      </c>
      <c r="C22" s="134"/>
      <c r="D22" s="134"/>
      <c r="E22" s="134"/>
      <c r="F22" s="134"/>
      <c r="G22" s="134"/>
      <c r="H22" s="134"/>
      <c r="I22" s="134"/>
      <c r="M22" s="37"/>
    </row>
    <row r="23" spans="2:13" ht="24" customHeight="1">
      <c r="B23" s="134"/>
      <c r="C23" s="134"/>
      <c r="D23" s="134"/>
      <c r="E23" s="134"/>
      <c r="F23" s="134"/>
      <c r="G23" s="134"/>
      <c r="H23" s="134"/>
      <c r="I23" s="134"/>
      <c r="M23" s="37"/>
    </row>
    <row r="25" spans="2:13" ht="27">
      <c r="C25" s="98">
        <v>9</v>
      </c>
      <c r="D25" s="98" t="s">
        <v>173</v>
      </c>
      <c r="E25" s="71" t="s">
        <v>32</v>
      </c>
      <c r="F25" s="72">
        <f>H34</f>
        <v>448580</v>
      </c>
      <c r="G25" s="16" t="s">
        <v>33</v>
      </c>
    </row>
    <row r="27" spans="2:13" ht="24.75" customHeight="1">
      <c r="B27" s="55"/>
      <c r="C27" s="56"/>
      <c r="D27" s="64" t="s">
        <v>42</v>
      </c>
      <c r="E27" s="127" t="s">
        <v>134</v>
      </c>
      <c r="F27" s="124"/>
      <c r="G27" s="124"/>
      <c r="H27" s="125"/>
      <c r="I27" s="12"/>
    </row>
    <row r="28" spans="2:13" ht="24.75" customHeight="1">
      <c r="B28" s="55"/>
      <c r="C28" s="56"/>
      <c r="D28" s="60" t="s">
        <v>139</v>
      </c>
      <c r="E28" s="127" t="s">
        <v>140</v>
      </c>
      <c r="F28" s="128"/>
      <c r="G28" s="128"/>
      <c r="H28" s="129"/>
      <c r="I28" s="12"/>
    </row>
    <row r="29" spans="2:13" ht="24.75" customHeight="1">
      <c r="B29" s="57"/>
      <c r="C29" s="56"/>
      <c r="D29" s="60" t="s">
        <v>43</v>
      </c>
      <c r="E29" s="126">
        <v>45981</v>
      </c>
      <c r="F29" s="124"/>
      <c r="G29" s="124"/>
      <c r="H29" s="125"/>
      <c r="I29" s="53"/>
    </row>
    <row r="30" spans="2:13" ht="24.75" customHeight="1">
      <c r="B30" s="57"/>
      <c r="C30" s="56"/>
      <c r="D30" s="65" t="s">
        <v>44</v>
      </c>
      <c r="E30" s="61"/>
      <c r="F30" s="67"/>
      <c r="G30" s="45"/>
      <c r="H30" s="94">
        <v>438580</v>
      </c>
      <c r="I30" s="73" t="s">
        <v>45</v>
      </c>
    </row>
    <row r="31" spans="2:13" ht="24.75" customHeight="1">
      <c r="B31" s="57"/>
      <c r="C31" s="56"/>
      <c r="D31" s="62" t="s">
        <v>46</v>
      </c>
      <c r="E31" s="68" t="s">
        <v>35</v>
      </c>
      <c r="F31" s="67"/>
      <c r="G31" s="45"/>
      <c r="H31" s="95">
        <f>H30</f>
        <v>438580</v>
      </c>
      <c r="I31" s="74" t="s">
        <v>40</v>
      </c>
    </row>
    <row r="32" spans="2:13" ht="24.75" customHeight="1">
      <c r="B32" s="57"/>
      <c r="C32" s="56"/>
      <c r="D32" s="62"/>
      <c r="E32" s="68" t="s">
        <v>36</v>
      </c>
      <c r="F32" s="67"/>
      <c r="G32" s="45"/>
      <c r="H32" s="45">
        <v>0</v>
      </c>
      <c r="I32" s="74" t="s">
        <v>40</v>
      </c>
    </row>
    <row r="33" spans="2:10" ht="24.75" customHeight="1">
      <c r="B33" s="57"/>
      <c r="C33" s="56"/>
      <c r="D33" s="62"/>
      <c r="E33" s="66" t="s">
        <v>37</v>
      </c>
      <c r="F33" s="69"/>
      <c r="G33" s="43"/>
      <c r="H33" s="103">
        <v>10000</v>
      </c>
      <c r="I33" s="74" t="s">
        <v>40</v>
      </c>
    </row>
    <row r="34" spans="2:10" ht="24">
      <c r="B34" s="57"/>
      <c r="C34" s="56"/>
      <c r="D34" s="42"/>
      <c r="E34" s="38"/>
      <c r="F34" s="38"/>
      <c r="G34" s="63" t="s">
        <v>47</v>
      </c>
      <c r="H34" s="96">
        <f>SUM(H31-H32+H33)</f>
        <v>448580</v>
      </c>
      <c r="I34" s="74" t="s">
        <v>40</v>
      </c>
    </row>
    <row r="35" spans="2:10" ht="24">
      <c r="B35" s="57"/>
      <c r="C35" s="56"/>
      <c r="D35" s="12"/>
      <c r="E35" s="12"/>
      <c r="F35" s="12"/>
      <c r="G35" s="12"/>
      <c r="H35" s="12"/>
      <c r="I35" s="53"/>
    </row>
    <row r="36" spans="2:10" ht="24">
      <c r="B36" s="57"/>
      <c r="C36" s="56"/>
      <c r="D36" s="12"/>
      <c r="E36" s="12"/>
      <c r="F36" s="12"/>
      <c r="G36" s="12"/>
      <c r="H36" s="12"/>
      <c r="I36" s="12"/>
    </row>
    <row r="37" spans="2:10" ht="24">
      <c r="B37" s="57"/>
      <c r="C37" s="56"/>
      <c r="D37" s="12"/>
      <c r="E37" s="12"/>
      <c r="F37" s="12"/>
      <c r="G37" s="12"/>
      <c r="H37" s="12"/>
      <c r="I37" s="12"/>
    </row>
    <row r="38" spans="2:10" ht="24">
      <c r="B38" s="57"/>
      <c r="C38" s="56"/>
      <c r="D38" s="12"/>
      <c r="E38" s="12"/>
      <c r="F38" s="12"/>
      <c r="G38" s="12"/>
      <c r="H38" s="12"/>
      <c r="I38" s="54"/>
    </row>
    <row r="39" spans="2:10" s="11" customFormat="1" ht="20.25" customHeight="1">
      <c r="B39" s="57"/>
      <c r="C39" s="58"/>
      <c r="D39" s="12"/>
      <c r="E39" s="12"/>
      <c r="F39" s="12"/>
      <c r="G39" s="12"/>
      <c r="H39" s="12"/>
      <c r="I39" s="12"/>
      <c r="J39" s="18"/>
    </row>
    <row r="40" spans="2:10" s="11" customFormat="1" ht="20.25" customHeight="1">
      <c r="B40" s="57"/>
      <c r="C40" s="58"/>
      <c r="D40" s="12"/>
      <c r="E40" s="12"/>
      <c r="F40" s="12"/>
      <c r="G40" s="12"/>
      <c r="H40" s="12"/>
      <c r="I40" s="12"/>
    </row>
    <row r="41" spans="2:10" s="11" customFormat="1" ht="20.25" customHeight="1">
      <c r="B41" s="57"/>
      <c r="C41" s="58"/>
      <c r="D41" s="12"/>
      <c r="E41" s="12"/>
      <c r="F41" s="12"/>
      <c r="G41" s="12"/>
      <c r="H41" s="12"/>
      <c r="I41" s="12"/>
    </row>
    <row r="42" spans="2:10" s="11" customFormat="1" ht="20.25" customHeight="1">
      <c r="B42" s="57"/>
      <c r="C42" s="58"/>
      <c r="D42" s="12"/>
      <c r="E42" s="12"/>
      <c r="F42" s="12"/>
      <c r="G42" s="12"/>
      <c r="H42" s="12"/>
      <c r="I42" s="12"/>
    </row>
    <row r="43" spans="2:10" ht="24">
      <c r="B43" s="1"/>
      <c r="C43" s="1"/>
      <c r="D43" s="1"/>
      <c r="E43" s="1"/>
      <c r="F43" s="1"/>
      <c r="G43" s="12"/>
      <c r="H43" s="1"/>
      <c r="I43" s="12"/>
    </row>
    <row r="44" spans="2:10" ht="24">
      <c r="B44" s="12"/>
      <c r="C44" s="12"/>
      <c r="D44" s="12"/>
      <c r="E44" s="12"/>
      <c r="F44" s="12"/>
      <c r="G44" s="12"/>
      <c r="H44" s="12"/>
      <c r="I44" s="41"/>
    </row>
    <row r="45" spans="2:10" ht="24">
      <c r="B45" s="12"/>
      <c r="C45" s="12"/>
      <c r="D45" s="12"/>
      <c r="E45" s="12"/>
      <c r="F45" s="39"/>
      <c r="G45" s="39"/>
      <c r="H45" s="40"/>
      <c r="I45" s="39"/>
    </row>
  </sheetData>
  <mergeCells count="9">
    <mergeCell ref="E27:H27"/>
    <mergeCell ref="E29:H29"/>
    <mergeCell ref="I2:J2"/>
    <mergeCell ref="B6:D6"/>
    <mergeCell ref="G15:G16"/>
    <mergeCell ref="H16:J16"/>
    <mergeCell ref="H17:J17"/>
    <mergeCell ref="B22:I23"/>
    <mergeCell ref="E28:H28"/>
  </mergeCells>
  <phoneticPr fontId="7"/>
  <dataValidations count="2">
    <dataValidation allowBlank="1" showInputMessage="1" showErrorMessage="1" sqref="H2" xr:uid="{31B0A460-D653-CD48-BD9A-7BBC6EFF1E49}"/>
    <dataValidation type="whole" allowBlank="1" showInputMessage="1" showErrorMessage="1" sqref="D7" xr:uid="{DBCAD873-4599-3F44-B0D4-7527E534625D}">
      <formula1>0</formula1>
      <formula2>9999999999</formula2>
    </dataValidation>
  </dataValidations>
  <pageMargins left="0.7" right="0.7" top="0.75" bottom="0.75" header="0.3" footer="0.3"/>
  <pageSetup paperSize="9" scale="77"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F8E33-408F-5747-9AEB-4AF2D8E5659E}">
  <sheetPr codeName="Sheet12">
    <tabColor theme="7"/>
    <pageSetUpPr fitToPage="1"/>
  </sheetPr>
  <dimension ref="B1:M45"/>
  <sheetViews>
    <sheetView topLeftCell="A14" zoomScaleNormal="100" workbookViewId="0">
      <selection activeCell="H32" sqref="H32"/>
    </sheetView>
  </sheetViews>
  <sheetFormatPr baseColWidth="10" defaultColWidth="8.83203125" defaultRowHeight="18"/>
  <cols>
    <col min="1" max="1" width="8.1640625" customWidth="1"/>
    <col min="2" max="2" width="4.33203125" customWidth="1"/>
    <col min="3" max="3" width="8.5" customWidth="1"/>
    <col min="4" max="4" width="17.1640625" customWidth="1"/>
    <col min="5" max="5" width="13.6640625" customWidth="1"/>
    <col min="6" max="6" width="17.1640625" customWidth="1"/>
    <col min="7" max="7" width="13.6640625" customWidth="1"/>
    <col min="8" max="8" width="17.1640625" customWidth="1"/>
    <col min="9" max="9" width="6.5" customWidth="1"/>
    <col min="10" max="10" width="6.6640625" customWidth="1"/>
    <col min="11" max="11" width="11.1640625" customWidth="1"/>
    <col min="12" max="12" width="6.6640625" customWidth="1"/>
    <col min="13" max="13" width="15.83203125" customWidth="1"/>
    <col min="14" max="14" width="17.6640625" customWidth="1"/>
    <col min="15" max="15" width="18.1640625" customWidth="1"/>
  </cols>
  <sheetData>
    <row r="1" spans="2:13">
      <c r="I1" s="10"/>
    </row>
    <row r="2" spans="2:13" ht="24">
      <c r="B2" s="1"/>
      <c r="G2" s="87"/>
      <c r="H2" s="88"/>
      <c r="I2" s="130"/>
      <c r="J2" s="130"/>
    </row>
    <row r="3" spans="2:13" ht="24" customHeight="1">
      <c r="B3" s="76"/>
      <c r="C3" s="76"/>
      <c r="D3" s="76"/>
      <c r="E3" s="76"/>
      <c r="G3" s="87"/>
      <c r="H3" s="88"/>
      <c r="I3" s="88"/>
    </row>
    <row r="4" spans="2:13" ht="18.75" customHeight="1">
      <c r="B4" s="76"/>
      <c r="C4" s="76"/>
      <c r="D4" s="76"/>
      <c r="E4" s="76"/>
    </row>
    <row r="5" spans="2:13" ht="24">
      <c r="B5" s="33"/>
      <c r="C5" s="33"/>
      <c r="D5" s="33"/>
    </row>
    <row r="6" spans="2:13" ht="45">
      <c r="B6" s="131"/>
      <c r="C6" s="131"/>
      <c r="D6" s="131"/>
      <c r="E6" s="1"/>
      <c r="F6" s="86" t="s">
        <v>137</v>
      </c>
    </row>
    <row r="7" spans="2:13" ht="24">
      <c r="B7" s="1" t="s">
        <v>20</v>
      </c>
      <c r="C7" s="12"/>
      <c r="D7" s="13">
        <v>2419519208</v>
      </c>
      <c r="E7" s="13"/>
    </row>
    <row r="8" spans="2:13" ht="24">
      <c r="B8" s="12" t="s">
        <v>21</v>
      </c>
      <c r="C8" s="12"/>
      <c r="D8" s="12" t="str">
        <f>受給者情報!C12</f>
        <v>東原　尚輝</v>
      </c>
      <c r="E8" t="s">
        <v>41</v>
      </c>
    </row>
    <row r="12" spans="2:13" ht="31">
      <c r="E12" s="52" t="s">
        <v>22</v>
      </c>
      <c r="F12" s="52"/>
      <c r="G12" s="52"/>
    </row>
    <row r="13" spans="2:13" ht="24">
      <c r="I13" s="14"/>
      <c r="M13" s="37"/>
    </row>
    <row r="14" spans="2:13">
      <c r="M14" s="37"/>
    </row>
    <row r="15" spans="2:13" ht="24" customHeight="1">
      <c r="G15" s="132" t="s">
        <v>23</v>
      </c>
      <c r="H15" s="49" t="s">
        <v>24</v>
      </c>
      <c r="I15" s="49"/>
      <c r="M15" s="37"/>
    </row>
    <row r="16" spans="2:13" ht="24" customHeight="1">
      <c r="G16" s="132"/>
      <c r="H16" s="133" t="s">
        <v>25</v>
      </c>
      <c r="I16" s="133"/>
      <c r="J16" s="133"/>
      <c r="M16" s="37"/>
    </row>
    <row r="17" spans="2:13" ht="40.5" customHeight="1">
      <c r="G17" s="50"/>
      <c r="H17" s="133" t="s">
        <v>27</v>
      </c>
      <c r="I17" s="133"/>
      <c r="J17" s="133"/>
      <c r="M17" s="37"/>
    </row>
    <row r="18" spans="2:13">
      <c r="G18" s="51" t="s">
        <v>28</v>
      </c>
      <c r="H18" s="51" t="str">
        <f>事業者情報!C5&amp;"　"&amp;事業者情報!C6</f>
        <v>代表取締役社長　澤田昌志</v>
      </c>
      <c r="M18" s="37"/>
    </row>
    <row r="19" spans="2:13">
      <c r="G19" s="51" t="s">
        <v>29</v>
      </c>
      <c r="H19" s="51" t="str">
        <f>事業者情報!C7&amp;""</f>
        <v>0566-63-6817</v>
      </c>
      <c r="M19" s="37"/>
    </row>
    <row r="20" spans="2:13">
      <c r="G20" s="51" t="s">
        <v>30</v>
      </c>
      <c r="H20" s="51" t="str">
        <f>事業者情報!C8&amp;""</f>
        <v>0566-63-6818</v>
      </c>
      <c r="M20" s="37"/>
    </row>
    <row r="21" spans="2:13">
      <c r="M21" s="37"/>
    </row>
    <row r="22" spans="2:13" ht="24" customHeight="1">
      <c r="B22" s="134" t="s">
        <v>135</v>
      </c>
      <c r="C22" s="134"/>
      <c r="D22" s="134"/>
      <c r="E22" s="134"/>
      <c r="F22" s="134"/>
      <c r="G22" s="134"/>
      <c r="H22" s="134"/>
      <c r="I22" s="134"/>
      <c r="M22" s="37"/>
    </row>
    <row r="23" spans="2:13" ht="24" customHeight="1">
      <c r="B23" s="134"/>
      <c r="C23" s="134"/>
      <c r="D23" s="134"/>
      <c r="E23" s="134"/>
      <c r="F23" s="134"/>
      <c r="G23" s="134"/>
      <c r="H23" s="134"/>
      <c r="I23" s="134"/>
      <c r="M23" s="37"/>
    </row>
    <row r="25" spans="2:13" ht="27">
      <c r="C25" s="98">
        <v>9</v>
      </c>
      <c r="D25" s="98" t="s">
        <v>173</v>
      </c>
      <c r="E25" s="71" t="s">
        <v>32</v>
      </c>
      <c r="F25" s="72">
        <f>H34</f>
        <v>442432</v>
      </c>
      <c r="G25" s="16" t="s">
        <v>33</v>
      </c>
    </row>
    <row r="27" spans="2:13" ht="24.75" customHeight="1">
      <c r="B27" s="55"/>
      <c r="C27" s="56"/>
      <c r="D27" s="64" t="s">
        <v>42</v>
      </c>
      <c r="E27" s="123" t="s">
        <v>163</v>
      </c>
      <c r="F27" s="124"/>
      <c r="G27" s="124"/>
      <c r="H27" s="125"/>
      <c r="I27" s="12"/>
    </row>
    <row r="28" spans="2:13" ht="24.75" customHeight="1">
      <c r="B28" s="55"/>
      <c r="C28" s="56"/>
      <c r="D28" s="60" t="s">
        <v>139</v>
      </c>
      <c r="E28" s="135" t="s">
        <v>140</v>
      </c>
      <c r="F28" s="124"/>
      <c r="G28" s="124"/>
      <c r="H28" s="125"/>
      <c r="I28" s="12"/>
    </row>
    <row r="29" spans="2:13" ht="24.75" customHeight="1">
      <c r="B29" s="57"/>
      <c r="C29" s="56"/>
      <c r="D29" s="60" t="s">
        <v>43</v>
      </c>
      <c r="E29" s="126">
        <v>45981</v>
      </c>
      <c r="F29" s="124"/>
      <c r="G29" s="124"/>
      <c r="H29" s="125"/>
      <c r="I29" s="53"/>
    </row>
    <row r="30" spans="2:13" ht="24.75" customHeight="1">
      <c r="B30" s="57"/>
      <c r="C30" s="56"/>
      <c r="D30" s="65" t="s">
        <v>44</v>
      </c>
      <c r="E30" s="61"/>
      <c r="F30" s="67"/>
      <c r="G30" s="45"/>
      <c r="H30" s="104">
        <v>432432</v>
      </c>
      <c r="I30" s="73" t="s">
        <v>45</v>
      </c>
    </row>
    <row r="31" spans="2:13" ht="24.75" customHeight="1">
      <c r="B31" s="57"/>
      <c r="C31" s="56"/>
      <c r="D31" s="62" t="s">
        <v>46</v>
      </c>
      <c r="E31" s="68" t="s">
        <v>35</v>
      </c>
      <c r="F31" s="67"/>
      <c r="G31" s="45"/>
      <c r="H31" s="101">
        <f>H30</f>
        <v>432432</v>
      </c>
      <c r="I31" s="74" t="s">
        <v>40</v>
      </c>
    </row>
    <row r="32" spans="2:13" ht="24.75" customHeight="1">
      <c r="B32" s="57"/>
      <c r="C32" s="56"/>
      <c r="D32" s="62"/>
      <c r="E32" s="68" t="s">
        <v>36</v>
      </c>
      <c r="F32" s="67"/>
      <c r="G32" s="45"/>
      <c r="H32" s="102">
        <v>0</v>
      </c>
      <c r="I32" s="74" t="s">
        <v>40</v>
      </c>
    </row>
    <row r="33" spans="2:10" ht="24.75" customHeight="1">
      <c r="B33" s="57"/>
      <c r="C33" s="56"/>
      <c r="D33" s="62"/>
      <c r="E33" s="66" t="s">
        <v>37</v>
      </c>
      <c r="F33" s="69"/>
      <c r="G33" s="43"/>
      <c r="H33" s="103">
        <v>10000</v>
      </c>
      <c r="I33" s="74" t="s">
        <v>40</v>
      </c>
    </row>
    <row r="34" spans="2:10" ht="24">
      <c r="B34" s="57"/>
      <c r="C34" s="56"/>
      <c r="D34" s="42"/>
      <c r="E34" s="38"/>
      <c r="F34" s="38"/>
      <c r="G34" s="63" t="s">
        <v>47</v>
      </c>
      <c r="H34" s="96">
        <f>SUM(H31-H32+H33)</f>
        <v>442432</v>
      </c>
      <c r="I34" s="74" t="s">
        <v>40</v>
      </c>
    </row>
    <row r="35" spans="2:10" ht="24">
      <c r="B35" s="57"/>
      <c r="C35" s="56"/>
      <c r="D35" s="12"/>
      <c r="E35" s="12"/>
      <c r="F35" s="12"/>
      <c r="G35" s="12"/>
      <c r="H35" s="105"/>
      <c r="I35" s="53"/>
    </row>
    <row r="36" spans="2:10" ht="24">
      <c r="B36" s="57"/>
      <c r="C36" s="56"/>
      <c r="D36" s="12"/>
      <c r="E36" s="12"/>
      <c r="F36" s="12"/>
      <c r="G36" s="12"/>
      <c r="H36" s="105"/>
      <c r="I36" s="12"/>
    </row>
    <row r="37" spans="2:10" ht="24">
      <c r="B37" s="57"/>
      <c r="C37" s="56"/>
      <c r="D37" s="12"/>
      <c r="E37" s="12"/>
      <c r="F37" s="12"/>
      <c r="G37" s="12"/>
      <c r="H37" s="105"/>
      <c r="I37" s="12"/>
    </row>
    <row r="38" spans="2:10" ht="24">
      <c r="B38" s="57"/>
      <c r="C38" s="56"/>
      <c r="D38" s="12"/>
      <c r="E38" s="12"/>
      <c r="F38" s="12"/>
      <c r="G38" s="12"/>
      <c r="H38" s="12"/>
      <c r="I38" s="54"/>
    </row>
    <row r="39" spans="2:10" s="11" customFormat="1" ht="20.25" customHeight="1">
      <c r="B39" s="57"/>
      <c r="C39" s="58"/>
      <c r="D39" s="12"/>
      <c r="E39" s="12"/>
      <c r="F39" s="12"/>
      <c r="G39" s="12"/>
      <c r="H39" s="12"/>
      <c r="I39" s="12"/>
      <c r="J39" s="18"/>
    </row>
    <row r="40" spans="2:10" s="11" customFormat="1" ht="20.25" customHeight="1">
      <c r="B40" s="57"/>
      <c r="C40" s="58"/>
      <c r="D40" s="12"/>
      <c r="E40" s="12"/>
      <c r="F40" s="12"/>
      <c r="G40" s="12"/>
      <c r="H40" s="12"/>
      <c r="I40" s="12"/>
    </row>
    <row r="41" spans="2:10" s="11" customFormat="1" ht="20.25" customHeight="1">
      <c r="B41" s="57"/>
      <c r="C41" s="58"/>
      <c r="D41" s="12"/>
      <c r="E41" s="12"/>
      <c r="F41" s="12"/>
      <c r="G41" s="12"/>
      <c r="H41" s="12"/>
      <c r="I41" s="12"/>
    </row>
    <row r="42" spans="2:10" s="11" customFormat="1" ht="20.25" customHeight="1">
      <c r="B42" s="57"/>
      <c r="C42" s="58"/>
      <c r="D42" s="12"/>
      <c r="E42" s="12"/>
      <c r="F42" s="12"/>
      <c r="G42" s="12"/>
      <c r="H42" s="12"/>
      <c r="I42" s="12"/>
    </row>
    <row r="43" spans="2:10" ht="24">
      <c r="B43" s="1"/>
      <c r="C43" s="1"/>
      <c r="D43" s="1"/>
      <c r="E43" s="1"/>
      <c r="F43" s="1"/>
      <c r="G43" s="12"/>
      <c r="H43" s="1"/>
      <c r="I43" s="12"/>
    </row>
    <row r="44" spans="2:10" ht="24">
      <c r="B44" s="12"/>
      <c r="C44" s="12"/>
      <c r="D44" s="12"/>
      <c r="E44" s="12"/>
      <c r="F44" s="12"/>
      <c r="G44" s="12"/>
      <c r="H44" s="12"/>
      <c r="I44" s="41"/>
    </row>
    <row r="45" spans="2:10" ht="24">
      <c r="B45" s="12"/>
      <c r="C45" s="12"/>
      <c r="D45" s="12"/>
      <c r="E45" s="12"/>
      <c r="F45" s="39"/>
      <c r="G45" s="39"/>
      <c r="H45" s="40"/>
      <c r="I45" s="39"/>
    </row>
  </sheetData>
  <mergeCells count="9">
    <mergeCell ref="E27:H27"/>
    <mergeCell ref="E29:H29"/>
    <mergeCell ref="I2:J2"/>
    <mergeCell ref="B6:D6"/>
    <mergeCell ref="G15:G16"/>
    <mergeCell ref="H16:J16"/>
    <mergeCell ref="H17:J17"/>
    <mergeCell ref="B22:I23"/>
    <mergeCell ref="E28:H28"/>
  </mergeCells>
  <phoneticPr fontId="7"/>
  <dataValidations count="1">
    <dataValidation allowBlank="1" showInputMessage="1" showErrorMessage="1" sqref="H2" xr:uid="{959B048E-4F0E-1F45-A640-2DF837DA6AB9}"/>
  </dataValidations>
  <pageMargins left="0.7" right="0.7" top="0.75" bottom="0.75" header="0.3" footer="0.3"/>
  <pageSetup paperSize="9" scale="77"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2B110-8368-9947-804D-D3E92BEA6483}">
  <sheetPr codeName="Sheet13">
    <tabColor theme="7"/>
    <pageSetUpPr fitToPage="1"/>
  </sheetPr>
  <dimension ref="B1:M45"/>
  <sheetViews>
    <sheetView topLeftCell="A16" zoomScaleNormal="100" workbookViewId="0">
      <selection activeCell="H32" sqref="H32"/>
    </sheetView>
  </sheetViews>
  <sheetFormatPr baseColWidth="10" defaultColWidth="8.83203125" defaultRowHeight="18"/>
  <cols>
    <col min="1" max="1" width="8.1640625" customWidth="1"/>
    <col min="2" max="2" width="4.33203125" customWidth="1"/>
    <col min="3" max="3" width="8.5" customWidth="1"/>
    <col min="4" max="4" width="17.1640625" customWidth="1"/>
    <col min="5" max="5" width="13.6640625" customWidth="1"/>
    <col min="6" max="6" width="17.1640625" customWidth="1"/>
    <col min="7" max="7" width="13.6640625" customWidth="1"/>
    <col min="8" max="8" width="17.1640625" customWidth="1"/>
    <col min="9" max="9" width="6.5" customWidth="1"/>
    <col min="10" max="10" width="6.6640625" customWidth="1"/>
    <col min="11" max="11" width="11.1640625" customWidth="1"/>
    <col min="12" max="12" width="6.6640625" customWidth="1"/>
    <col min="13" max="13" width="15.83203125" customWidth="1"/>
    <col min="14" max="14" width="17.6640625" customWidth="1"/>
    <col min="15" max="15" width="18.1640625" customWidth="1"/>
  </cols>
  <sheetData>
    <row r="1" spans="2:13">
      <c r="I1" s="10"/>
    </row>
    <row r="2" spans="2:13" ht="24">
      <c r="B2" s="1"/>
      <c r="G2" s="87"/>
      <c r="H2" s="88"/>
      <c r="I2" s="130"/>
      <c r="J2" s="130"/>
    </row>
    <row r="3" spans="2:13" ht="24" customHeight="1">
      <c r="B3" s="76"/>
      <c r="C3" s="76"/>
      <c r="D3" s="76"/>
      <c r="E3" s="76"/>
      <c r="G3" s="87"/>
      <c r="H3" s="88"/>
      <c r="I3" s="88"/>
    </row>
    <row r="4" spans="2:13" ht="18.75" customHeight="1">
      <c r="B4" s="76"/>
      <c r="C4" s="76"/>
      <c r="D4" s="76"/>
      <c r="E4" s="76"/>
    </row>
    <row r="5" spans="2:13" ht="24">
      <c r="B5" s="33"/>
      <c r="C5" s="33"/>
      <c r="D5" s="33"/>
    </row>
    <row r="6" spans="2:13" ht="45">
      <c r="B6" s="131"/>
      <c r="C6" s="131"/>
      <c r="D6" s="131"/>
      <c r="E6" s="1"/>
      <c r="F6" s="86" t="s">
        <v>137</v>
      </c>
    </row>
    <row r="7" spans="2:13" ht="24">
      <c r="B7" s="1" t="s">
        <v>20</v>
      </c>
      <c r="C7" s="12"/>
      <c r="D7" s="13">
        <v>2000004818</v>
      </c>
      <c r="E7" s="13"/>
    </row>
    <row r="8" spans="2:13" ht="24">
      <c r="B8" s="12" t="s">
        <v>21</v>
      </c>
      <c r="C8" s="12"/>
      <c r="D8" s="12" t="str">
        <f>受給者情報!C13</f>
        <v>篠田　周平</v>
      </c>
      <c r="E8" t="s">
        <v>41</v>
      </c>
    </row>
    <row r="12" spans="2:13" ht="31">
      <c r="E12" s="52" t="s">
        <v>22</v>
      </c>
      <c r="F12" s="52"/>
      <c r="G12" s="52"/>
    </row>
    <row r="13" spans="2:13" ht="24">
      <c r="I13" s="14"/>
      <c r="M13" s="37"/>
    </row>
    <row r="14" spans="2:13">
      <c r="M14" s="37"/>
    </row>
    <row r="15" spans="2:13" ht="24" customHeight="1">
      <c r="G15" s="132" t="s">
        <v>23</v>
      </c>
      <c r="H15" s="49" t="s">
        <v>24</v>
      </c>
      <c r="I15" s="49"/>
      <c r="M15" s="37"/>
    </row>
    <row r="16" spans="2:13" ht="24" customHeight="1">
      <c r="G16" s="132"/>
      <c r="H16" s="133" t="s">
        <v>25</v>
      </c>
      <c r="I16" s="133"/>
      <c r="J16" s="133"/>
      <c r="M16" s="37"/>
    </row>
    <row r="17" spans="2:13" ht="40.5" customHeight="1">
      <c r="G17" s="50"/>
      <c r="H17" s="133" t="s">
        <v>27</v>
      </c>
      <c r="I17" s="133"/>
      <c r="J17" s="133"/>
      <c r="M17" s="37"/>
    </row>
    <row r="18" spans="2:13">
      <c r="G18" s="51" t="s">
        <v>28</v>
      </c>
      <c r="H18" s="51" t="str">
        <f>事業者情報!C5&amp;"　"&amp;事業者情報!C6</f>
        <v>代表取締役社長　澤田昌志</v>
      </c>
      <c r="M18" s="37"/>
    </row>
    <row r="19" spans="2:13">
      <c r="G19" s="51" t="s">
        <v>29</v>
      </c>
      <c r="H19" s="51" t="str">
        <f>事業者情報!C7&amp;""</f>
        <v>0566-63-6817</v>
      </c>
      <c r="M19" s="37"/>
    </row>
    <row r="20" spans="2:13">
      <c r="G20" s="51" t="s">
        <v>30</v>
      </c>
      <c r="H20" s="51" t="str">
        <f>事業者情報!C8&amp;""</f>
        <v>0566-63-6818</v>
      </c>
      <c r="M20" s="37"/>
    </row>
    <row r="21" spans="2:13">
      <c r="M21" s="37"/>
    </row>
    <row r="22" spans="2:13" ht="24" customHeight="1">
      <c r="B22" s="134" t="s">
        <v>135</v>
      </c>
      <c r="C22" s="134"/>
      <c r="D22" s="134"/>
      <c r="E22" s="134"/>
      <c r="F22" s="134"/>
      <c r="G22" s="134"/>
      <c r="H22" s="134"/>
      <c r="I22" s="134"/>
      <c r="M22" s="37"/>
    </row>
    <row r="23" spans="2:13" ht="24" customHeight="1">
      <c r="B23" s="134"/>
      <c r="C23" s="134"/>
      <c r="D23" s="134"/>
      <c r="E23" s="134"/>
      <c r="F23" s="134"/>
      <c r="G23" s="134"/>
      <c r="H23" s="134"/>
      <c r="I23" s="134"/>
      <c r="M23" s="37"/>
    </row>
    <row r="25" spans="2:13" ht="27">
      <c r="C25" s="98">
        <v>9</v>
      </c>
      <c r="D25" s="98" t="s">
        <v>173</v>
      </c>
      <c r="E25" s="71" t="s">
        <v>32</v>
      </c>
      <c r="F25" s="72">
        <f>H34</f>
        <v>264072</v>
      </c>
      <c r="G25" s="16" t="s">
        <v>33</v>
      </c>
    </row>
    <row r="27" spans="2:13" ht="24.75" customHeight="1">
      <c r="B27" s="55"/>
      <c r="C27" s="56"/>
      <c r="D27" s="64" t="s">
        <v>42</v>
      </c>
      <c r="E27" s="123" t="s">
        <v>148</v>
      </c>
      <c r="F27" s="124"/>
      <c r="G27" s="124"/>
      <c r="H27" s="125"/>
      <c r="I27" s="12"/>
    </row>
    <row r="28" spans="2:13" ht="24.75" customHeight="1">
      <c r="B28" s="55"/>
      <c r="C28" s="56"/>
      <c r="D28" s="60" t="s">
        <v>139</v>
      </c>
      <c r="E28" s="135" t="s">
        <v>140</v>
      </c>
      <c r="F28" s="124"/>
      <c r="G28" s="124"/>
      <c r="H28" s="125"/>
      <c r="I28" s="12"/>
    </row>
    <row r="29" spans="2:13" ht="24.75" customHeight="1">
      <c r="B29" s="57"/>
      <c r="C29" s="56"/>
      <c r="D29" s="60" t="s">
        <v>43</v>
      </c>
      <c r="E29" s="126">
        <v>45981</v>
      </c>
      <c r="F29" s="124"/>
      <c r="G29" s="124"/>
      <c r="H29" s="125"/>
      <c r="I29" s="53"/>
    </row>
    <row r="30" spans="2:13" ht="24.75" customHeight="1">
      <c r="B30" s="57"/>
      <c r="C30" s="56"/>
      <c r="D30" s="65" t="s">
        <v>44</v>
      </c>
      <c r="E30" s="61"/>
      <c r="F30" s="67"/>
      <c r="G30" s="45"/>
      <c r="H30" s="104">
        <v>254072</v>
      </c>
      <c r="I30" s="73" t="s">
        <v>45</v>
      </c>
    </row>
    <row r="31" spans="2:13" ht="24.75" customHeight="1">
      <c r="B31" s="57"/>
      <c r="C31" s="56"/>
      <c r="D31" s="62" t="s">
        <v>46</v>
      </c>
      <c r="E31" s="68" t="s">
        <v>35</v>
      </c>
      <c r="F31" s="67"/>
      <c r="G31" s="45"/>
      <c r="H31" s="101">
        <f>H30</f>
        <v>254072</v>
      </c>
      <c r="I31" s="74" t="s">
        <v>40</v>
      </c>
    </row>
    <row r="32" spans="2:13" ht="24.75" customHeight="1">
      <c r="B32" s="57"/>
      <c r="C32" s="56"/>
      <c r="D32" s="62"/>
      <c r="E32" s="68" t="s">
        <v>36</v>
      </c>
      <c r="F32" s="67"/>
      <c r="G32" s="45"/>
      <c r="H32" s="102">
        <v>0</v>
      </c>
      <c r="I32" s="74" t="s">
        <v>40</v>
      </c>
    </row>
    <row r="33" spans="2:10" ht="24.75" customHeight="1">
      <c r="B33" s="57"/>
      <c r="C33" s="56"/>
      <c r="D33" s="62"/>
      <c r="E33" s="66" t="s">
        <v>37</v>
      </c>
      <c r="F33" s="69"/>
      <c r="G33" s="43"/>
      <c r="H33" s="103">
        <v>10000</v>
      </c>
      <c r="I33" s="74" t="s">
        <v>40</v>
      </c>
    </row>
    <row r="34" spans="2:10" ht="24">
      <c r="B34" s="57"/>
      <c r="C34" s="56"/>
      <c r="D34" s="42"/>
      <c r="E34" s="38"/>
      <c r="F34" s="38"/>
      <c r="G34" s="63" t="s">
        <v>47</v>
      </c>
      <c r="H34" s="96">
        <f>SUM(H31-H32+H33)</f>
        <v>264072</v>
      </c>
      <c r="I34" s="74" t="s">
        <v>40</v>
      </c>
    </row>
    <row r="35" spans="2:10" ht="24">
      <c r="B35" s="57"/>
      <c r="C35" s="56"/>
      <c r="D35" s="12"/>
      <c r="E35" s="12"/>
      <c r="F35" s="12"/>
      <c r="G35" s="12"/>
      <c r="H35" s="105"/>
      <c r="I35" s="53"/>
    </row>
    <row r="36" spans="2:10" ht="24">
      <c r="B36" s="57"/>
      <c r="C36" s="56"/>
      <c r="D36" s="12"/>
      <c r="E36" s="12"/>
      <c r="F36" s="12"/>
      <c r="G36" s="12"/>
      <c r="H36" s="12"/>
      <c r="I36" s="12"/>
    </row>
    <row r="37" spans="2:10" ht="24">
      <c r="B37" s="57"/>
      <c r="C37" s="56"/>
      <c r="D37" s="12"/>
      <c r="E37" s="12"/>
      <c r="F37" s="12"/>
      <c r="G37" s="12"/>
      <c r="H37" s="12"/>
      <c r="I37" s="12"/>
    </row>
    <row r="38" spans="2:10" ht="24">
      <c r="B38" s="57"/>
      <c r="C38" s="56"/>
      <c r="D38" s="12"/>
      <c r="E38" s="12"/>
      <c r="F38" s="12"/>
      <c r="G38" s="12"/>
      <c r="H38" s="12"/>
      <c r="I38" s="54"/>
    </row>
    <row r="39" spans="2:10" s="11" customFormat="1" ht="20.25" customHeight="1">
      <c r="B39" s="57"/>
      <c r="C39" s="58"/>
      <c r="D39" s="12"/>
      <c r="E39" s="12"/>
      <c r="F39" s="12"/>
      <c r="G39" s="12"/>
      <c r="H39" s="12"/>
      <c r="I39" s="12"/>
      <c r="J39" s="18"/>
    </row>
    <row r="40" spans="2:10" s="11" customFormat="1" ht="20.25" customHeight="1">
      <c r="B40" s="57"/>
      <c r="C40" s="58"/>
      <c r="D40" s="12"/>
      <c r="E40" s="12"/>
      <c r="F40" s="12"/>
      <c r="G40" s="12"/>
      <c r="H40" s="12"/>
      <c r="I40" s="12"/>
    </row>
    <row r="41" spans="2:10" s="11" customFormat="1" ht="20.25" customHeight="1">
      <c r="B41" s="57"/>
      <c r="C41" s="58"/>
      <c r="D41" s="12"/>
      <c r="E41" s="12"/>
      <c r="F41" s="12"/>
      <c r="G41" s="12"/>
      <c r="H41" s="12"/>
      <c r="I41" s="12"/>
    </row>
    <row r="42" spans="2:10" s="11" customFormat="1" ht="20.25" customHeight="1">
      <c r="B42" s="57"/>
      <c r="C42" s="58"/>
      <c r="D42" s="12"/>
      <c r="E42" s="12"/>
      <c r="F42" s="12"/>
      <c r="G42" s="12"/>
      <c r="H42" s="12"/>
      <c r="I42" s="12"/>
    </row>
    <row r="43" spans="2:10" ht="24">
      <c r="B43" s="1"/>
      <c r="C43" s="1"/>
      <c r="D43" s="1"/>
      <c r="E43" s="1"/>
      <c r="F43" s="1"/>
      <c r="G43" s="12"/>
      <c r="H43" s="1"/>
      <c r="I43" s="12"/>
    </row>
    <row r="44" spans="2:10" ht="24">
      <c r="B44" s="12"/>
      <c r="C44" s="12"/>
      <c r="D44" s="12"/>
      <c r="E44" s="12"/>
      <c r="F44" s="12"/>
      <c r="G44" s="12"/>
      <c r="H44" s="12"/>
      <c r="I44" s="41"/>
    </row>
    <row r="45" spans="2:10" ht="24">
      <c r="B45" s="12"/>
      <c r="C45" s="12"/>
      <c r="D45" s="12"/>
      <c r="E45" s="12"/>
      <c r="F45" s="39"/>
      <c r="G45" s="39"/>
      <c r="H45" s="40"/>
      <c r="I45" s="39"/>
    </row>
  </sheetData>
  <mergeCells count="9">
    <mergeCell ref="E27:H27"/>
    <mergeCell ref="E29:H29"/>
    <mergeCell ref="I2:J2"/>
    <mergeCell ref="B6:D6"/>
    <mergeCell ref="G15:G16"/>
    <mergeCell ref="H16:J16"/>
    <mergeCell ref="H17:J17"/>
    <mergeCell ref="B22:I23"/>
    <mergeCell ref="E28:H28"/>
  </mergeCells>
  <phoneticPr fontId="7"/>
  <dataValidations count="1">
    <dataValidation allowBlank="1" showInputMessage="1" showErrorMessage="1" sqref="H2" xr:uid="{DC516387-98A9-F548-9F67-D466E89D0C40}"/>
  </dataValidations>
  <pageMargins left="0.7" right="0.7" top="0.75" bottom="0.75" header="0.3" footer="0.3"/>
  <pageSetup paperSize="9" scale="77"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CBCB5-ED1D-964A-B4FA-00F5B70AC9DD}">
  <sheetPr codeName="Sheet14">
    <tabColor theme="7"/>
    <pageSetUpPr fitToPage="1"/>
  </sheetPr>
  <dimension ref="B1:M45"/>
  <sheetViews>
    <sheetView topLeftCell="A3" zoomScaleNormal="100" workbookViewId="0">
      <selection activeCell="H32" sqref="H32"/>
    </sheetView>
  </sheetViews>
  <sheetFormatPr baseColWidth="10" defaultColWidth="8.83203125" defaultRowHeight="18"/>
  <cols>
    <col min="1" max="1" width="8.1640625" customWidth="1"/>
    <col min="2" max="2" width="4.33203125" customWidth="1"/>
    <col min="3" max="3" width="8.5" customWidth="1"/>
    <col min="4" max="4" width="17.1640625" customWidth="1"/>
    <col min="5" max="5" width="13.6640625" customWidth="1"/>
    <col min="6" max="6" width="17.1640625" customWidth="1"/>
    <col min="7" max="7" width="13.6640625" customWidth="1"/>
    <col min="8" max="8" width="17.1640625" customWidth="1"/>
    <col min="9" max="9" width="6.5" customWidth="1"/>
    <col min="10" max="10" width="6.6640625" customWidth="1"/>
    <col min="11" max="11" width="11.1640625" customWidth="1"/>
    <col min="12" max="12" width="6.6640625" customWidth="1"/>
    <col min="13" max="13" width="15.83203125" customWidth="1"/>
    <col min="14" max="14" width="17.6640625" customWidth="1"/>
    <col min="15" max="15" width="18.1640625" customWidth="1"/>
  </cols>
  <sheetData>
    <row r="1" spans="2:13">
      <c r="I1" s="10"/>
    </row>
    <row r="2" spans="2:13" ht="24">
      <c r="B2" s="1"/>
      <c r="G2" s="87"/>
      <c r="H2" s="88"/>
      <c r="I2" s="130"/>
      <c r="J2" s="130"/>
    </row>
    <row r="3" spans="2:13" ht="24" customHeight="1">
      <c r="B3" s="76"/>
      <c r="C3" s="76"/>
      <c r="D3" s="76"/>
      <c r="E3" s="76"/>
      <c r="G3" s="87"/>
      <c r="H3" s="88"/>
      <c r="I3" s="88"/>
    </row>
    <row r="4" spans="2:13" ht="18.75" customHeight="1">
      <c r="B4" s="76"/>
      <c r="C4" s="76"/>
      <c r="D4" s="76"/>
      <c r="E4" s="76"/>
    </row>
    <row r="5" spans="2:13" ht="24">
      <c r="B5" s="33"/>
      <c r="C5" s="33"/>
      <c r="D5" s="33"/>
    </row>
    <row r="6" spans="2:13" ht="45">
      <c r="B6" s="131"/>
      <c r="C6" s="131"/>
      <c r="D6" s="131"/>
      <c r="E6" s="1"/>
      <c r="F6" s="86" t="s">
        <v>137</v>
      </c>
    </row>
    <row r="7" spans="2:13" ht="24">
      <c r="B7" s="1" t="s">
        <v>20</v>
      </c>
      <c r="C7" s="12"/>
      <c r="D7" s="13">
        <v>9018171323</v>
      </c>
      <c r="E7" s="13"/>
    </row>
    <row r="8" spans="2:13" ht="24">
      <c r="B8" s="12" t="s">
        <v>21</v>
      </c>
      <c r="C8" s="12"/>
      <c r="D8" s="12" t="str">
        <f>受給者情報!C14</f>
        <v>斉藤　吟</v>
      </c>
      <c r="E8" t="s">
        <v>41</v>
      </c>
    </row>
    <row r="12" spans="2:13" ht="31">
      <c r="E12" s="52" t="s">
        <v>22</v>
      </c>
      <c r="F12" s="52"/>
      <c r="G12" s="52"/>
    </row>
    <row r="13" spans="2:13" ht="24">
      <c r="I13" s="14"/>
      <c r="M13" s="37"/>
    </row>
    <row r="14" spans="2:13">
      <c r="M14" s="37"/>
    </row>
    <row r="15" spans="2:13" ht="24" customHeight="1">
      <c r="G15" s="132" t="s">
        <v>23</v>
      </c>
      <c r="H15" s="49" t="s">
        <v>24</v>
      </c>
      <c r="I15" s="49"/>
      <c r="M15" s="37"/>
    </row>
    <row r="16" spans="2:13" ht="24" customHeight="1">
      <c r="G16" s="132"/>
      <c r="H16" s="133" t="s">
        <v>25</v>
      </c>
      <c r="I16" s="133"/>
      <c r="J16" s="133"/>
      <c r="M16" s="37"/>
    </row>
    <row r="17" spans="2:13" ht="40.5" customHeight="1">
      <c r="G17" s="50"/>
      <c r="H17" s="133" t="s">
        <v>27</v>
      </c>
      <c r="I17" s="133"/>
      <c r="J17" s="133"/>
      <c r="M17" s="37"/>
    </row>
    <row r="18" spans="2:13">
      <c r="G18" s="51" t="s">
        <v>28</v>
      </c>
      <c r="H18" s="51" t="str">
        <f>事業者情報!C5&amp;"　"&amp;事業者情報!C6</f>
        <v>代表取締役社長　澤田昌志</v>
      </c>
      <c r="M18" s="37"/>
    </row>
    <row r="19" spans="2:13">
      <c r="G19" s="51" t="s">
        <v>29</v>
      </c>
      <c r="H19" s="51" t="str">
        <f>事業者情報!C7&amp;""</f>
        <v>0566-63-6817</v>
      </c>
      <c r="M19" s="37"/>
    </row>
    <row r="20" spans="2:13">
      <c r="G20" s="51" t="s">
        <v>30</v>
      </c>
      <c r="H20" s="51" t="str">
        <f>事業者情報!C8&amp;""</f>
        <v>0566-63-6818</v>
      </c>
      <c r="M20" s="37"/>
    </row>
    <row r="21" spans="2:13">
      <c r="M21" s="37"/>
    </row>
    <row r="22" spans="2:13" ht="24" customHeight="1">
      <c r="B22" s="134" t="s">
        <v>135</v>
      </c>
      <c r="C22" s="134"/>
      <c r="D22" s="134"/>
      <c r="E22" s="134"/>
      <c r="F22" s="134"/>
      <c r="G22" s="134"/>
      <c r="H22" s="134"/>
      <c r="I22" s="134"/>
      <c r="M22" s="37"/>
    </row>
    <row r="23" spans="2:13" ht="24" customHeight="1">
      <c r="B23" s="134"/>
      <c r="C23" s="134"/>
      <c r="D23" s="134"/>
      <c r="E23" s="134"/>
      <c r="F23" s="134"/>
      <c r="G23" s="134"/>
      <c r="H23" s="134"/>
      <c r="I23" s="134"/>
      <c r="M23" s="37"/>
    </row>
    <row r="25" spans="2:13" ht="27">
      <c r="C25" s="98">
        <v>9</v>
      </c>
      <c r="D25" s="98" t="s">
        <v>173</v>
      </c>
      <c r="E25" s="71" t="s">
        <v>32</v>
      </c>
      <c r="F25" s="72">
        <f>H34</f>
        <v>298377</v>
      </c>
      <c r="G25" s="16" t="s">
        <v>33</v>
      </c>
    </row>
    <row r="27" spans="2:13" ht="24.75" customHeight="1">
      <c r="B27" s="55"/>
      <c r="C27" s="56"/>
      <c r="D27" s="64" t="s">
        <v>42</v>
      </c>
      <c r="E27" s="123" t="s">
        <v>164</v>
      </c>
      <c r="F27" s="124"/>
      <c r="G27" s="124"/>
      <c r="H27" s="125"/>
      <c r="I27" s="12"/>
    </row>
    <row r="28" spans="2:13" ht="24.75" customHeight="1">
      <c r="B28" s="55"/>
      <c r="C28" s="56"/>
      <c r="D28" s="60" t="s">
        <v>139</v>
      </c>
      <c r="E28" s="135" t="s">
        <v>140</v>
      </c>
      <c r="F28" s="124"/>
      <c r="G28" s="124"/>
      <c r="H28" s="125"/>
      <c r="I28" s="12"/>
    </row>
    <row r="29" spans="2:13" ht="24.75" customHeight="1">
      <c r="B29" s="57"/>
      <c r="C29" s="56"/>
      <c r="D29" s="60" t="s">
        <v>43</v>
      </c>
      <c r="E29" s="126">
        <v>45981</v>
      </c>
      <c r="F29" s="124"/>
      <c r="G29" s="124"/>
      <c r="H29" s="125"/>
      <c r="I29" s="53"/>
    </row>
    <row r="30" spans="2:13" ht="24.75" customHeight="1">
      <c r="B30" s="57"/>
      <c r="C30" s="56"/>
      <c r="D30" s="65" t="s">
        <v>44</v>
      </c>
      <c r="E30" s="61"/>
      <c r="F30" s="67"/>
      <c r="G30" s="45"/>
      <c r="H30" s="94">
        <v>288377</v>
      </c>
      <c r="I30" s="73" t="s">
        <v>45</v>
      </c>
    </row>
    <row r="31" spans="2:13" ht="24.75" customHeight="1">
      <c r="B31" s="57"/>
      <c r="C31" s="56"/>
      <c r="D31" s="62" t="s">
        <v>46</v>
      </c>
      <c r="E31" s="68" t="s">
        <v>35</v>
      </c>
      <c r="F31" s="67"/>
      <c r="G31" s="45"/>
      <c r="H31" s="101">
        <f>H30</f>
        <v>288377</v>
      </c>
      <c r="I31" s="74" t="s">
        <v>40</v>
      </c>
    </row>
    <row r="32" spans="2:13" ht="24.75" customHeight="1">
      <c r="B32" s="57"/>
      <c r="C32" s="56"/>
      <c r="D32" s="62"/>
      <c r="E32" s="68" t="s">
        <v>36</v>
      </c>
      <c r="F32" s="67"/>
      <c r="G32" s="45"/>
      <c r="H32" s="102">
        <v>0</v>
      </c>
      <c r="I32" s="74" t="s">
        <v>40</v>
      </c>
    </row>
    <row r="33" spans="2:10" ht="24.75" customHeight="1">
      <c r="B33" s="57"/>
      <c r="C33" s="56"/>
      <c r="D33" s="62"/>
      <c r="E33" s="66" t="s">
        <v>37</v>
      </c>
      <c r="F33" s="69"/>
      <c r="G33" s="43"/>
      <c r="H33" s="103">
        <v>10000</v>
      </c>
      <c r="I33" s="74" t="s">
        <v>40</v>
      </c>
    </row>
    <row r="34" spans="2:10" ht="24">
      <c r="B34" s="57"/>
      <c r="C34" s="56"/>
      <c r="D34" s="42"/>
      <c r="E34" s="38"/>
      <c r="F34" s="38"/>
      <c r="G34" s="63" t="s">
        <v>47</v>
      </c>
      <c r="H34" s="96">
        <f>SUM(H31-H32+H33)</f>
        <v>298377</v>
      </c>
      <c r="I34" s="74" t="s">
        <v>40</v>
      </c>
    </row>
    <row r="35" spans="2:10" ht="24">
      <c r="B35" s="57"/>
      <c r="C35" s="56"/>
      <c r="D35" s="12"/>
      <c r="E35" s="12"/>
      <c r="F35" s="12"/>
      <c r="G35" s="12"/>
      <c r="H35" s="12"/>
      <c r="I35" s="53"/>
    </row>
    <row r="36" spans="2:10" ht="24">
      <c r="B36" s="57"/>
      <c r="C36" s="56"/>
      <c r="D36" s="12"/>
      <c r="E36" s="12"/>
      <c r="F36" s="12"/>
      <c r="G36" s="12"/>
      <c r="H36" s="12"/>
      <c r="I36" s="12"/>
    </row>
    <row r="37" spans="2:10" ht="24">
      <c r="B37" s="57"/>
      <c r="C37" s="56"/>
      <c r="D37" s="12"/>
      <c r="E37" s="12"/>
      <c r="F37" s="12"/>
      <c r="G37" s="12"/>
      <c r="H37" s="12"/>
      <c r="I37" s="12"/>
    </row>
    <row r="38" spans="2:10" ht="24">
      <c r="B38" s="57"/>
      <c r="C38" s="56"/>
      <c r="D38" s="12"/>
      <c r="E38" s="12"/>
      <c r="F38" s="12"/>
      <c r="G38" s="12"/>
      <c r="H38" s="12"/>
      <c r="I38" s="54"/>
    </row>
    <row r="39" spans="2:10" s="11" customFormat="1" ht="20.25" customHeight="1">
      <c r="B39" s="57"/>
      <c r="C39" s="58"/>
      <c r="D39" s="12"/>
      <c r="E39" s="12"/>
      <c r="F39" s="12"/>
      <c r="G39" s="12"/>
      <c r="H39" s="12"/>
      <c r="I39" s="12"/>
      <c r="J39" s="18"/>
    </row>
    <row r="40" spans="2:10" s="11" customFormat="1" ht="20.25" customHeight="1">
      <c r="B40" s="57"/>
      <c r="C40" s="58"/>
      <c r="D40" s="12"/>
      <c r="E40" s="12"/>
      <c r="F40" s="12"/>
      <c r="G40" s="12"/>
      <c r="H40" s="12"/>
      <c r="I40" s="12"/>
    </row>
    <row r="41" spans="2:10" s="11" customFormat="1" ht="20.25" customHeight="1">
      <c r="B41" s="57"/>
      <c r="C41" s="58"/>
      <c r="D41" s="12"/>
      <c r="E41" s="12"/>
      <c r="F41" s="12"/>
      <c r="G41" s="12"/>
      <c r="H41" s="12"/>
      <c r="I41" s="12"/>
    </row>
    <row r="42" spans="2:10" s="11" customFormat="1" ht="20.25" customHeight="1">
      <c r="B42" s="57"/>
      <c r="C42" s="58"/>
      <c r="D42" s="12"/>
      <c r="E42" s="12"/>
      <c r="F42" s="12"/>
      <c r="G42" s="12"/>
      <c r="H42" s="12"/>
      <c r="I42" s="12"/>
    </row>
    <row r="43" spans="2:10" ht="24">
      <c r="B43" s="1"/>
      <c r="C43" s="1"/>
      <c r="D43" s="1"/>
      <c r="E43" s="1"/>
      <c r="F43" s="1"/>
      <c r="G43" s="12"/>
      <c r="H43" s="1"/>
      <c r="I43" s="12"/>
    </row>
    <row r="44" spans="2:10" ht="24">
      <c r="B44" s="12"/>
      <c r="C44" s="12"/>
      <c r="D44" s="12"/>
      <c r="E44" s="12"/>
      <c r="F44" s="12"/>
      <c r="G44" s="12"/>
      <c r="H44" s="12"/>
      <c r="I44" s="41"/>
    </row>
    <row r="45" spans="2:10" ht="24">
      <c r="B45" s="12"/>
      <c r="C45" s="12"/>
      <c r="D45" s="12"/>
      <c r="E45" s="12"/>
      <c r="F45" s="39"/>
      <c r="G45" s="39"/>
      <c r="H45" s="40"/>
      <c r="I45" s="39"/>
    </row>
  </sheetData>
  <mergeCells count="9">
    <mergeCell ref="E27:H27"/>
    <mergeCell ref="E29:H29"/>
    <mergeCell ref="I2:J2"/>
    <mergeCell ref="B6:D6"/>
    <mergeCell ref="G15:G16"/>
    <mergeCell ref="H16:J16"/>
    <mergeCell ref="H17:J17"/>
    <mergeCell ref="B22:I23"/>
    <mergeCell ref="E28:H28"/>
  </mergeCells>
  <phoneticPr fontId="7"/>
  <dataValidations count="1">
    <dataValidation allowBlank="1" showInputMessage="1" showErrorMessage="1" sqref="H2" xr:uid="{4997E6F6-9CDF-B845-8540-FA068EA2E69A}"/>
  </dataValidations>
  <pageMargins left="0.7" right="0.7" top="0.75" bottom="0.75" header="0.3" footer="0.3"/>
  <pageSetup paperSize="9" scale="75"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A80B1-AA2A-694B-83B7-AE510AD89536}">
  <sheetPr codeName="Sheet15">
    <tabColor theme="7"/>
    <pageSetUpPr fitToPage="1"/>
  </sheetPr>
  <dimension ref="B1:M45"/>
  <sheetViews>
    <sheetView topLeftCell="A7" zoomScaleNormal="100" workbookViewId="0">
      <selection activeCell="L33" sqref="L33"/>
    </sheetView>
  </sheetViews>
  <sheetFormatPr baseColWidth="10" defaultColWidth="8.83203125" defaultRowHeight="18"/>
  <cols>
    <col min="1" max="1" width="8.1640625" customWidth="1"/>
    <col min="2" max="2" width="4.33203125" customWidth="1"/>
    <col min="3" max="3" width="8.5" customWidth="1"/>
    <col min="4" max="4" width="17.1640625" customWidth="1"/>
    <col min="5" max="5" width="13.6640625" customWidth="1"/>
    <col min="6" max="6" width="17.1640625" customWidth="1"/>
    <col min="7" max="7" width="13.6640625" customWidth="1"/>
    <col min="8" max="8" width="17.1640625" customWidth="1"/>
    <col min="9" max="9" width="6.5" customWidth="1"/>
    <col min="10" max="10" width="6.6640625" customWidth="1"/>
    <col min="11" max="11" width="11.1640625" customWidth="1"/>
    <col min="12" max="12" width="6.6640625" customWidth="1"/>
    <col min="13" max="13" width="15.83203125" customWidth="1"/>
    <col min="14" max="14" width="17.6640625" customWidth="1"/>
    <col min="15" max="15" width="18.1640625" customWidth="1"/>
  </cols>
  <sheetData>
    <row r="1" spans="2:13">
      <c r="I1" s="10"/>
    </row>
    <row r="2" spans="2:13" ht="24">
      <c r="B2" s="1"/>
      <c r="G2" s="87"/>
      <c r="H2" s="88"/>
      <c r="I2" s="130"/>
      <c r="J2" s="130"/>
    </row>
    <row r="3" spans="2:13" ht="24" customHeight="1">
      <c r="B3" s="76"/>
      <c r="C3" s="76"/>
      <c r="D3" s="76"/>
      <c r="E3" s="76"/>
      <c r="G3" s="87"/>
      <c r="H3" s="88"/>
      <c r="I3" s="88"/>
    </row>
    <row r="4" spans="2:13" ht="18.75" customHeight="1">
      <c r="B4" s="76"/>
      <c r="C4" s="76"/>
      <c r="D4" s="76"/>
      <c r="E4" s="76"/>
    </row>
    <row r="5" spans="2:13" ht="24">
      <c r="B5" s="33"/>
      <c r="C5" s="33"/>
      <c r="D5" s="33"/>
    </row>
    <row r="6" spans="2:13" ht="45">
      <c r="B6" s="131"/>
      <c r="C6" s="131"/>
      <c r="D6" s="131"/>
      <c r="E6" s="1"/>
      <c r="F6" s="86" t="s">
        <v>137</v>
      </c>
    </row>
    <row r="7" spans="2:13" ht="24">
      <c r="B7" s="1" t="s">
        <v>20</v>
      </c>
      <c r="C7" s="12"/>
      <c r="D7" s="13">
        <v>3000000962</v>
      </c>
      <c r="E7" s="13"/>
    </row>
    <row r="8" spans="2:13" ht="24">
      <c r="B8" s="12" t="s">
        <v>21</v>
      </c>
      <c r="C8" s="12"/>
      <c r="D8" s="12" t="str">
        <f>受給者情報!C15</f>
        <v>磯村　英男</v>
      </c>
      <c r="E8" t="s">
        <v>41</v>
      </c>
    </row>
    <row r="12" spans="2:13" ht="31">
      <c r="E12" s="52" t="s">
        <v>22</v>
      </c>
      <c r="F12" s="52"/>
      <c r="G12" s="52"/>
    </row>
    <row r="13" spans="2:13" ht="24">
      <c r="I13" s="14"/>
      <c r="M13" s="37"/>
    </row>
    <row r="14" spans="2:13">
      <c r="M14" s="37"/>
    </row>
    <row r="15" spans="2:13" ht="24" customHeight="1">
      <c r="G15" s="132" t="s">
        <v>23</v>
      </c>
      <c r="H15" s="49" t="s">
        <v>24</v>
      </c>
      <c r="I15" s="49"/>
      <c r="M15" s="37"/>
    </row>
    <row r="16" spans="2:13" ht="24" customHeight="1">
      <c r="G16" s="132"/>
      <c r="H16" s="133" t="s">
        <v>25</v>
      </c>
      <c r="I16" s="133"/>
      <c r="J16" s="133"/>
      <c r="M16" s="37"/>
    </row>
    <row r="17" spans="2:13" ht="40.5" customHeight="1">
      <c r="G17" s="50"/>
      <c r="H17" s="133" t="s">
        <v>27</v>
      </c>
      <c r="I17" s="133"/>
      <c r="J17" s="133"/>
      <c r="M17" s="37"/>
    </row>
    <row r="18" spans="2:13">
      <c r="G18" s="51" t="s">
        <v>28</v>
      </c>
      <c r="H18" s="51" t="str">
        <f>事業者情報!C5&amp;"　"&amp;事業者情報!C6</f>
        <v>代表取締役社長　澤田昌志</v>
      </c>
      <c r="M18" s="37"/>
    </row>
    <row r="19" spans="2:13">
      <c r="G19" s="51" t="s">
        <v>29</v>
      </c>
      <c r="H19" s="51" t="str">
        <f>事業者情報!C7&amp;""</f>
        <v>0566-63-6817</v>
      </c>
      <c r="M19" s="37"/>
    </row>
    <row r="20" spans="2:13">
      <c r="G20" s="51" t="s">
        <v>30</v>
      </c>
      <c r="H20" s="51" t="str">
        <f>事業者情報!C8&amp;""</f>
        <v>0566-63-6818</v>
      </c>
      <c r="M20" s="37"/>
    </row>
    <row r="21" spans="2:13">
      <c r="M21" s="37"/>
    </row>
    <row r="22" spans="2:13" ht="24" customHeight="1">
      <c r="B22" s="134" t="s">
        <v>135</v>
      </c>
      <c r="C22" s="134"/>
      <c r="D22" s="134"/>
      <c r="E22" s="134"/>
      <c r="F22" s="134"/>
      <c r="G22" s="134"/>
      <c r="H22" s="134"/>
      <c r="I22" s="134"/>
      <c r="M22" s="37"/>
    </row>
    <row r="23" spans="2:13" ht="24" customHeight="1">
      <c r="B23" s="134"/>
      <c r="C23" s="134"/>
      <c r="D23" s="134"/>
      <c r="E23" s="134"/>
      <c r="F23" s="134"/>
      <c r="G23" s="134"/>
      <c r="H23" s="134"/>
      <c r="I23" s="134"/>
      <c r="M23" s="37"/>
    </row>
    <row r="25" spans="2:13" ht="27">
      <c r="C25" s="98">
        <v>10</v>
      </c>
      <c r="D25" s="98" t="s">
        <v>173</v>
      </c>
      <c r="E25" s="71" t="s">
        <v>32</v>
      </c>
      <c r="F25" s="72">
        <f>H34</f>
        <v>10000</v>
      </c>
      <c r="G25" s="16" t="s">
        <v>33</v>
      </c>
    </row>
    <row r="27" spans="2:13" ht="24.75" customHeight="1">
      <c r="B27" s="55"/>
      <c r="C27" s="56"/>
      <c r="D27" s="64" t="s">
        <v>42</v>
      </c>
      <c r="E27" s="123" t="s">
        <v>133</v>
      </c>
      <c r="F27" s="124"/>
      <c r="G27" s="124"/>
      <c r="H27" s="125"/>
      <c r="I27" s="12"/>
    </row>
    <row r="28" spans="2:13" ht="24.75" customHeight="1">
      <c r="B28" s="55"/>
      <c r="C28" s="56"/>
      <c r="D28" s="60" t="s">
        <v>139</v>
      </c>
      <c r="E28" s="135" t="s">
        <v>140</v>
      </c>
      <c r="F28" s="124"/>
      <c r="G28" s="124"/>
      <c r="H28" s="125"/>
      <c r="I28" s="12"/>
    </row>
    <row r="29" spans="2:13" ht="24.75" customHeight="1">
      <c r="B29" s="57"/>
      <c r="C29" s="56"/>
      <c r="D29" s="60" t="s">
        <v>43</v>
      </c>
      <c r="E29" s="126">
        <v>46010</v>
      </c>
      <c r="F29" s="124"/>
      <c r="G29" s="124"/>
      <c r="H29" s="125"/>
      <c r="I29" s="53"/>
    </row>
    <row r="30" spans="2:13" ht="24.75" customHeight="1">
      <c r="B30" s="57"/>
      <c r="C30" s="56"/>
      <c r="D30" s="65" t="s">
        <v>44</v>
      </c>
      <c r="E30" s="61"/>
      <c r="F30" s="67"/>
      <c r="G30" s="45"/>
      <c r="H30" s="104"/>
      <c r="I30" s="73" t="s">
        <v>45</v>
      </c>
    </row>
    <row r="31" spans="2:13" ht="24.75" customHeight="1">
      <c r="B31" s="57"/>
      <c r="C31" s="56"/>
      <c r="D31" s="62" t="s">
        <v>46</v>
      </c>
      <c r="E31" s="68" t="s">
        <v>35</v>
      </c>
      <c r="F31" s="67"/>
      <c r="G31" s="45"/>
      <c r="H31" s="101">
        <f>H30</f>
        <v>0</v>
      </c>
      <c r="I31" s="74" t="s">
        <v>40</v>
      </c>
    </row>
    <row r="32" spans="2:13" ht="24.75" customHeight="1">
      <c r="B32" s="57"/>
      <c r="C32" s="56"/>
      <c r="D32" s="62"/>
      <c r="E32" s="68" t="s">
        <v>36</v>
      </c>
      <c r="F32" s="67"/>
      <c r="G32" s="45"/>
      <c r="H32" s="102">
        <v>0</v>
      </c>
      <c r="I32" s="74" t="s">
        <v>40</v>
      </c>
    </row>
    <row r="33" spans="2:10" ht="24.75" customHeight="1">
      <c r="B33" s="57"/>
      <c r="C33" s="56"/>
      <c r="D33" s="62"/>
      <c r="E33" s="66" t="s">
        <v>37</v>
      </c>
      <c r="F33" s="69"/>
      <c r="G33" s="43"/>
      <c r="H33" s="103">
        <v>10000</v>
      </c>
      <c r="I33" s="74" t="s">
        <v>40</v>
      </c>
    </row>
    <row r="34" spans="2:10" ht="24">
      <c r="B34" s="57"/>
      <c r="C34" s="56"/>
      <c r="D34" s="42"/>
      <c r="E34" s="38"/>
      <c r="F34" s="38"/>
      <c r="G34" s="63" t="s">
        <v>47</v>
      </c>
      <c r="H34" s="96">
        <f>SUM(H31-H32+H33)</f>
        <v>10000</v>
      </c>
      <c r="I34" s="74" t="s">
        <v>40</v>
      </c>
    </row>
    <row r="35" spans="2:10" ht="24">
      <c r="B35" s="57"/>
      <c r="C35" s="56"/>
      <c r="D35" s="12"/>
      <c r="E35" s="12"/>
      <c r="F35" s="12"/>
      <c r="G35" s="12"/>
      <c r="H35" s="12"/>
      <c r="I35" s="53"/>
    </row>
    <row r="36" spans="2:10" ht="24">
      <c r="B36" s="57"/>
      <c r="C36" s="56"/>
      <c r="D36" s="12"/>
      <c r="E36" s="12"/>
      <c r="F36" s="12"/>
      <c r="G36" s="12"/>
      <c r="H36" s="12"/>
      <c r="I36" s="12"/>
    </row>
    <row r="37" spans="2:10" ht="24">
      <c r="B37" s="57"/>
      <c r="C37" s="56"/>
      <c r="D37" s="12"/>
      <c r="E37" s="12"/>
      <c r="F37" s="12"/>
      <c r="G37" s="12"/>
      <c r="H37" s="12"/>
      <c r="I37" s="12"/>
    </row>
    <row r="38" spans="2:10" ht="24">
      <c r="B38" s="57"/>
      <c r="C38" s="56"/>
      <c r="D38" s="12"/>
      <c r="E38" s="12"/>
      <c r="F38" s="12"/>
      <c r="G38" s="12"/>
      <c r="H38" s="12"/>
      <c r="I38" s="54"/>
    </row>
    <row r="39" spans="2:10" s="11" customFormat="1" ht="20.25" customHeight="1">
      <c r="B39" s="57"/>
      <c r="C39" s="58"/>
      <c r="D39" s="12"/>
      <c r="E39" s="12"/>
      <c r="F39" s="12"/>
      <c r="G39" s="12"/>
      <c r="H39" s="12"/>
      <c r="I39" s="12"/>
      <c r="J39" s="18"/>
    </row>
    <row r="40" spans="2:10" s="11" customFormat="1" ht="20.25" customHeight="1">
      <c r="B40" s="57"/>
      <c r="C40" s="58"/>
      <c r="D40" s="12"/>
      <c r="E40" s="12"/>
      <c r="F40" s="12"/>
      <c r="G40" s="12"/>
      <c r="H40" s="12"/>
      <c r="I40" s="12"/>
    </row>
    <row r="41" spans="2:10" s="11" customFormat="1" ht="20.25" customHeight="1">
      <c r="B41" s="57"/>
      <c r="C41" s="58"/>
      <c r="D41" s="12"/>
      <c r="E41" s="12"/>
      <c r="F41" s="12"/>
      <c r="G41" s="12"/>
      <c r="H41" s="12"/>
      <c r="I41" s="12"/>
    </row>
    <row r="42" spans="2:10" s="11" customFormat="1" ht="20.25" customHeight="1">
      <c r="B42" s="57"/>
      <c r="C42" s="58"/>
      <c r="D42" s="12"/>
      <c r="E42" s="12"/>
      <c r="F42" s="12"/>
      <c r="G42" s="12"/>
      <c r="H42" s="12"/>
      <c r="I42" s="12"/>
    </row>
    <row r="43" spans="2:10" ht="24">
      <c r="B43" s="1"/>
      <c r="C43" s="1"/>
      <c r="D43" s="1"/>
      <c r="E43" s="1"/>
      <c r="F43" s="1"/>
      <c r="G43" s="12"/>
      <c r="H43" s="1"/>
      <c r="I43" s="12"/>
    </row>
    <row r="44" spans="2:10" ht="24">
      <c r="B44" s="12"/>
      <c r="C44" s="12"/>
      <c r="D44" s="12"/>
      <c r="E44" s="12"/>
      <c r="F44" s="12"/>
      <c r="G44" s="12"/>
      <c r="H44" s="12"/>
      <c r="I44" s="41"/>
    </row>
    <row r="45" spans="2:10" ht="24">
      <c r="B45" s="12"/>
      <c r="C45" s="12"/>
      <c r="D45" s="12"/>
      <c r="E45" s="12"/>
      <c r="F45" s="39"/>
      <c r="G45" s="39"/>
      <c r="H45" s="40"/>
      <c r="I45" s="39"/>
    </row>
  </sheetData>
  <mergeCells count="9">
    <mergeCell ref="E27:H27"/>
    <mergeCell ref="E29:H29"/>
    <mergeCell ref="I2:J2"/>
    <mergeCell ref="B6:D6"/>
    <mergeCell ref="G15:G16"/>
    <mergeCell ref="H16:J16"/>
    <mergeCell ref="H17:J17"/>
    <mergeCell ref="B22:I23"/>
    <mergeCell ref="E28:H28"/>
  </mergeCells>
  <phoneticPr fontId="7"/>
  <dataValidations count="1">
    <dataValidation allowBlank="1" showInputMessage="1" showErrorMessage="1" sqref="H2" xr:uid="{2C3BFC44-3F73-344D-9A8B-480A18EDE348}"/>
  </dataValidations>
  <pageMargins left="0.7" right="0.7" top="0.75" bottom="0.75" header="0.3" footer="0.3"/>
  <pageSetup paperSize="9" scale="77"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CFC47-D607-FF4B-B08B-06CDDDA87CA8}">
  <sheetPr codeName="Sheet16">
    <tabColor theme="7"/>
    <pageSetUpPr fitToPage="1"/>
  </sheetPr>
  <dimension ref="B1:M45"/>
  <sheetViews>
    <sheetView topLeftCell="A17" zoomScaleNormal="100" workbookViewId="0">
      <selection activeCell="H32" sqref="H32"/>
    </sheetView>
  </sheetViews>
  <sheetFormatPr baseColWidth="10" defaultColWidth="8.83203125" defaultRowHeight="18"/>
  <cols>
    <col min="1" max="1" width="8.1640625" customWidth="1"/>
    <col min="2" max="2" width="4.33203125" customWidth="1"/>
    <col min="3" max="3" width="8.5" customWidth="1"/>
    <col min="4" max="4" width="17.1640625" customWidth="1"/>
    <col min="5" max="5" width="13.6640625" customWidth="1"/>
    <col min="6" max="6" width="17.1640625" customWidth="1"/>
    <col min="7" max="7" width="13.6640625" customWidth="1"/>
    <col min="8" max="8" width="17.1640625" customWidth="1"/>
    <col min="9" max="9" width="6.5" customWidth="1"/>
    <col min="10" max="10" width="6.6640625" customWidth="1"/>
    <col min="11" max="11" width="11.1640625" customWidth="1"/>
    <col min="12" max="12" width="6.6640625" customWidth="1"/>
    <col min="13" max="13" width="15.83203125" customWidth="1"/>
    <col min="14" max="14" width="17.6640625" customWidth="1"/>
    <col min="15" max="15" width="18.1640625" customWidth="1"/>
  </cols>
  <sheetData>
    <row r="1" spans="2:13">
      <c r="I1" s="10"/>
    </row>
    <row r="2" spans="2:13" ht="24">
      <c r="B2" s="1"/>
      <c r="G2" s="87"/>
      <c r="H2" s="88"/>
      <c r="I2" s="130"/>
      <c r="J2" s="130"/>
    </row>
    <row r="3" spans="2:13" ht="24" customHeight="1">
      <c r="B3" s="76"/>
      <c r="C3" s="76"/>
      <c r="D3" s="76"/>
      <c r="E3" s="76"/>
      <c r="G3" s="87"/>
      <c r="H3" s="88"/>
      <c r="I3" s="88"/>
    </row>
    <row r="4" spans="2:13" ht="18.75" customHeight="1">
      <c r="B4" s="76"/>
      <c r="C4" s="76"/>
      <c r="D4" s="76"/>
      <c r="E4" s="76"/>
    </row>
    <row r="5" spans="2:13" ht="24">
      <c r="B5" s="33"/>
      <c r="C5" s="33"/>
      <c r="D5" s="33"/>
    </row>
    <row r="6" spans="2:13" ht="45">
      <c r="B6" s="131"/>
      <c r="C6" s="131"/>
      <c r="D6" s="131"/>
      <c r="E6" s="1"/>
      <c r="F6" s="86" t="s">
        <v>137</v>
      </c>
    </row>
    <row r="7" spans="2:13" ht="24">
      <c r="B7" s="1" t="s">
        <v>20</v>
      </c>
      <c r="C7" s="12"/>
      <c r="D7" s="13">
        <v>3000019590</v>
      </c>
      <c r="E7" s="13"/>
    </row>
    <row r="8" spans="2:13" ht="24">
      <c r="B8" s="12" t="s">
        <v>21</v>
      </c>
      <c r="C8" s="12"/>
      <c r="D8" s="12" t="str">
        <f>受給者情報!C16</f>
        <v>古池　陸</v>
      </c>
      <c r="E8" t="s">
        <v>41</v>
      </c>
    </row>
    <row r="12" spans="2:13" ht="31">
      <c r="E12" s="52" t="s">
        <v>22</v>
      </c>
      <c r="F12" s="52"/>
      <c r="G12" s="52"/>
    </row>
    <row r="13" spans="2:13" ht="24">
      <c r="I13" s="14"/>
      <c r="M13" s="37"/>
    </row>
    <row r="14" spans="2:13">
      <c r="M14" s="37"/>
    </row>
    <row r="15" spans="2:13" ht="24" customHeight="1">
      <c r="G15" s="132" t="s">
        <v>23</v>
      </c>
      <c r="H15" s="49" t="s">
        <v>24</v>
      </c>
      <c r="I15" s="49"/>
      <c r="M15" s="37"/>
    </row>
    <row r="16" spans="2:13" ht="24" customHeight="1">
      <c r="G16" s="132"/>
      <c r="H16" s="133" t="s">
        <v>25</v>
      </c>
      <c r="I16" s="133"/>
      <c r="J16" s="133"/>
      <c r="M16" s="37"/>
    </row>
    <row r="17" spans="2:13" ht="40.5" customHeight="1">
      <c r="G17" s="50"/>
      <c r="H17" s="133" t="s">
        <v>27</v>
      </c>
      <c r="I17" s="133"/>
      <c r="J17" s="133"/>
      <c r="M17" s="37"/>
    </row>
    <row r="18" spans="2:13">
      <c r="G18" s="51" t="s">
        <v>28</v>
      </c>
      <c r="H18" s="51" t="str">
        <f>事業者情報!C5&amp;"　"&amp;事業者情報!C6</f>
        <v>代表取締役社長　澤田昌志</v>
      </c>
      <c r="M18" s="37"/>
    </row>
    <row r="19" spans="2:13">
      <c r="G19" s="51" t="s">
        <v>29</v>
      </c>
      <c r="H19" s="51" t="str">
        <f>事業者情報!C7&amp;""</f>
        <v>0566-63-6817</v>
      </c>
      <c r="M19" s="37"/>
    </row>
    <row r="20" spans="2:13">
      <c r="G20" s="51" t="s">
        <v>30</v>
      </c>
      <c r="H20" s="51" t="str">
        <f>事業者情報!C8&amp;""</f>
        <v>0566-63-6818</v>
      </c>
      <c r="M20" s="37"/>
    </row>
    <row r="21" spans="2:13">
      <c r="M21" s="37"/>
    </row>
    <row r="22" spans="2:13" ht="24" customHeight="1">
      <c r="B22" s="134" t="s">
        <v>136</v>
      </c>
      <c r="C22" s="134"/>
      <c r="D22" s="134"/>
      <c r="E22" s="134"/>
      <c r="F22" s="134"/>
      <c r="G22" s="134"/>
      <c r="H22" s="134"/>
      <c r="I22" s="134"/>
      <c r="M22" s="37"/>
    </row>
    <row r="23" spans="2:13" ht="24" customHeight="1">
      <c r="B23" s="134"/>
      <c r="C23" s="134"/>
      <c r="D23" s="134"/>
      <c r="E23" s="134"/>
      <c r="F23" s="134"/>
      <c r="G23" s="134"/>
      <c r="H23" s="134"/>
      <c r="I23" s="134"/>
      <c r="M23" s="37"/>
    </row>
    <row r="25" spans="2:13" ht="27">
      <c r="C25" s="98">
        <v>9</v>
      </c>
      <c r="D25" s="98" t="s">
        <v>173</v>
      </c>
      <c r="E25" s="71" t="s">
        <v>32</v>
      </c>
      <c r="F25" s="72">
        <f>H34</f>
        <v>369486</v>
      </c>
      <c r="G25" s="16" t="s">
        <v>33</v>
      </c>
    </row>
    <row r="27" spans="2:13" ht="24.75" customHeight="1">
      <c r="B27" s="55"/>
      <c r="C27" s="56"/>
      <c r="D27" s="64" t="s">
        <v>42</v>
      </c>
      <c r="E27" s="123" t="s">
        <v>133</v>
      </c>
      <c r="F27" s="124"/>
      <c r="G27" s="124"/>
      <c r="H27" s="125"/>
      <c r="I27" s="12"/>
    </row>
    <row r="28" spans="2:13" ht="24.75" customHeight="1">
      <c r="B28" s="55"/>
      <c r="C28" s="56"/>
      <c r="D28" s="60" t="s">
        <v>139</v>
      </c>
      <c r="E28" s="135" t="s">
        <v>140</v>
      </c>
      <c r="F28" s="124"/>
      <c r="G28" s="124"/>
      <c r="H28" s="125"/>
      <c r="I28" s="12"/>
    </row>
    <row r="29" spans="2:13" ht="24.75" customHeight="1">
      <c r="B29" s="57"/>
      <c r="C29" s="56"/>
      <c r="D29" s="60" t="s">
        <v>43</v>
      </c>
      <c r="E29" s="126">
        <v>45981</v>
      </c>
      <c r="F29" s="124"/>
      <c r="G29" s="124"/>
      <c r="H29" s="125"/>
      <c r="I29" s="53"/>
    </row>
    <row r="30" spans="2:13" ht="24.75" customHeight="1">
      <c r="B30" s="57"/>
      <c r="C30" s="56"/>
      <c r="D30" s="65" t="s">
        <v>44</v>
      </c>
      <c r="E30" s="61"/>
      <c r="F30" s="67"/>
      <c r="G30" s="45"/>
      <c r="H30" s="104">
        <v>359486</v>
      </c>
      <c r="I30" s="73" t="s">
        <v>45</v>
      </c>
    </row>
    <row r="31" spans="2:13" ht="24.75" customHeight="1">
      <c r="B31" s="57"/>
      <c r="C31" s="56"/>
      <c r="D31" s="62" t="s">
        <v>46</v>
      </c>
      <c r="E31" s="68" t="s">
        <v>35</v>
      </c>
      <c r="F31" s="67"/>
      <c r="G31" s="45"/>
      <c r="H31" s="101">
        <f>H30</f>
        <v>359486</v>
      </c>
      <c r="I31" s="74" t="s">
        <v>40</v>
      </c>
    </row>
    <row r="32" spans="2:13" ht="24.75" customHeight="1">
      <c r="B32" s="57"/>
      <c r="C32" s="56"/>
      <c r="D32" s="62"/>
      <c r="E32" s="68" t="s">
        <v>36</v>
      </c>
      <c r="F32" s="67"/>
      <c r="G32" s="45"/>
      <c r="H32" s="102">
        <v>0</v>
      </c>
      <c r="I32" s="74" t="s">
        <v>40</v>
      </c>
    </row>
    <row r="33" spans="2:10" ht="24.75" customHeight="1">
      <c r="B33" s="57"/>
      <c r="C33" s="56"/>
      <c r="D33" s="62"/>
      <c r="E33" s="66" t="s">
        <v>37</v>
      </c>
      <c r="F33" s="69"/>
      <c r="G33" s="43"/>
      <c r="H33" s="103">
        <v>10000</v>
      </c>
      <c r="I33" s="74" t="s">
        <v>40</v>
      </c>
    </row>
    <row r="34" spans="2:10" ht="24">
      <c r="B34" s="57"/>
      <c r="C34" s="56"/>
      <c r="D34" s="42"/>
      <c r="E34" s="38"/>
      <c r="F34" s="38"/>
      <c r="G34" s="63" t="s">
        <v>47</v>
      </c>
      <c r="H34" s="96">
        <f>SUM(H31-H32+H33)</f>
        <v>369486</v>
      </c>
      <c r="I34" s="74" t="s">
        <v>40</v>
      </c>
    </row>
    <row r="35" spans="2:10" ht="24">
      <c r="B35" s="57"/>
      <c r="C35" s="56"/>
      <c r="D35" s="12"/>
      <c r="E35" s="12"/>
      <c r="F35" s="12"/>
      <c r="G35" s="12"/>
      <c r="H35" s="105"/>
      <c r="I35" s="53"/>
    </row>
    <row r="36" spans="2:10" ht="24">
      <c r="B36" s="57"/>
      <c r="C36" s="56"/>
      <c r="D36" s="12"/>
      <c r="E36" s="12"/>
      <c r="F36" s="12"/>
      <c r="G36" s="12"/>
      <c r="H36" s="105"/>
      <c r="I36" s="12"/>
    </row>
    <row r="37" spans="2:10" ht="24">
      <c r="B37" s="57"/>
      <c r="C37" s="56"/>
      <c r="D37" s="12"/>
      <c r="E37" s="12"/>
      <c r="F37" s="12"/>
      <c r="G37" s="12"/>
      <c r="H37" s="105"/>
      <c r="I37" s="12"/>
    </row>
    <row r="38" spans="2:10" ht="24">
      <c r="B38" s="57"/>
      <c r="C38" s="56"/>
      <c r="D38" s="12"/>
      <c r="E38" s="12"/>
      <c r="F38" s="12"/>
      <c r="G38" s="12"/>
      <c r="H38" s="105"/>
      <c r="I38" s="54"/>
    </row>
    <row r="39" spans="2:10" s="11" customFormat="1" ht="20.25" customHeight="1">
      <c r="B39" s="57"/>
      <c r="C39" s="58"/>
      <c r="D39" s="12"/>
      <c r="E39" s="12"/>
      <c r="F39" s="12"/>
      <c r="G39" s="12"/>
      <c r="H39" s="12"/>
      <c r="I39" s="12"/>
      <c r="J39" s="18"/>
    </row>
    <row r="40" spans="2:10" s="11" customFormat="1" ht="20.25" customHeight="1">
      <c r="B40" s="57"/>
      <c r="C40" s="58"/>
      <c r="D40" s="12"/>
      <c r="E40" s="12"/>
      <c r="F40" s="12"/>
      <c r="G40" s="12"/>
      <c r="H40" s="12"/>
      <c r="I40" s="12"/>
    </row>
    <row r="41" spans="2:10" s="11" customFormat="1" ht="20.25" customHeight="1">
      <c r="B41" s="57"/>
      <c r="C41" s="58"/>
      <c r="D41" s="12"/>
      <c r="E41" s="12"/>
      <c r="F41" s="12"/>
      <c r="G41" s="12"/>
      <c r="H41" s="12"/>
      <c r="I41" s="12"/>
    </row>
    <row r="42" spans="2:10" s="11" customFormat="1" ht="20.25" customHeight="1">
      <c r="B42" s="57"/>
      <c r="C42" s="58"/>
      <c r="D42" s="12"/>
      <c r="E42" s="12"/>
      <c r="F42" s="12"/>
      <c r="G42" s="12"/>
      <c r="H42" s="12"/>
      <c r="I42" s="12"/>
    </row>
    <row r="43" spans="2:10" ht="24">
      <c r="B43" s="1"/>
      <c r="C43" s="1"/>
      <c r="D43" s="1"/>
      <c r="E43" s="1"/>
      <c r="F43" s="1"/>
      <c r="G43" s="12"/>
      <c r="H43" s="1"/>
      <c r="I43" s="12"/>
    </row>
    <row r="44" spans="2:10" ht="24">
      <c r="B44" s="12"/>
      <c r="C44" s="12"/>
      <c r="D44" s="12"/>
      <c r="E44" s="12"/>
      <c r="F44" s="12"/>
      <c r="G44" s="12"/>
      <c r="H44" s="12"/>
      <c r="I44" s="41"/>
    </row>
    <row r="45" spans="2:10" ht="24">
      <c r="B45" s="12"/>
      <c r="C45" s="12"/>
      <c r="D45" s="12"/>
      <c r="E45" s="12"/>
      <c r="F45" s="39"/>
      <c r="G45" s="39"/>
      <c r="H45" s="40"/>
      <c r="I45" s="39"/>
    </row>
  </sheetData>
  <mergeCells count="9">
    <mergeCell ref="E27:H27"/>
    <mergeCell ref="E29:H29"/>
    <mergeCell ref="I2:J2"/>
    <mergeCell ref="B6:D6"/>
    <mergeCell ref="G15:G16"/>
    <mergeCell ref="H16:J16"/>
    <mergeCell ref="H17:J17"/>
    <mergeCell ref="B22:I23"/>
    <mergeCell ref="E28:H28"/>
  </mergeCells>
  <phoneticPr fontId="7"/>
  <dataValidations count="1">
    <dataValidation allowBlank="1" showInputMessage="1" showErrorMessage="1" sqref="H2" xr:uid="{8705186D-2EC0-5747-80DF-8196446834ED}"/>
  </dataValidations>
  <pageMargins left="0.7" right="0.7" top="0.75" bottom="0.75" header="0.3" footer="0.3"/>
  <pageSetup paperSize="9" scale="77"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F8B10-7C16-E140-9533-7ADCB5CB7352}">
  <sheetPr codeName="Sheet17">
    <tabColor theme="7"/>
    <pageSetUpPr fitToPage="1"/>
  </sheetPr>
  <dimension ref="B1:M45"/>
  <sheetViews>
    <sheetView topLeftCell="A17" zoomScaleNormal="100" workbookViewId="0">
      <selection activeCell="H32" sqref="H32"/>
    </sheetView>
  </sheetViews>
  <sheetFormatPr baseColWidth="10" defaultColWidth="8.83203125" defaultRowHeight="18"/>
  <cols>
    <col min="1" max="1" width="8.1640625" customWidth="1"/>
    <col min="2" max="2" width="4.33203125" customWidth="1"/>
    <col min="3" max="3" width="8.5" customWidth="1"/>
    <col min="4" max="4" width="17.1640625" customWidth="1"/>
    <col min="5" max="5" width="13.6640625" customWidth="1"/>
    <col min="6" max="6" width="17.1640625" customWidth="1"/>
    <col min="7" max="7" width="13.6640625" customWidth="1"/>
    <col min="8" max="8" width="17.1640625" customWidth="1"/>
    <col min="9" max="9" width="6.5" customWidth="1"/>
    <col min="10" max="10" width="6.6640625" customWidth="1"/>
    <col min="11" max="11" width="11.1640625" customWidth="1"/>
    <col min="12" max="12" width="6.6640625" customWidth="1"/>
    <col min="13" max="13" width="15.83203125" customWidth="1"/>
    <col min="14" max="14" width="17.6640625" customWidth="1"/>
    <col min="15" max="15" width="18.1640625" customWidth="1"/>
  </cols>
  <sheetData>
    <row r="1" spans="2:13">
      <c r="I1" s="10"/>
    </row>
    <row r="2" spans="2:13" ht="24">
      <c r="B2" s="1"/>
      <c r="G2" s="87"/>
      <c r="H2" s="88"/>
      <c r="I2" s="130"/>
      <c r="J2" s="130"/>
    </row>
    <row r="3" spans="2:13" ht="24" customHeight="1">
      <c r="B3" s="76"/>
      <c r="C3" s="76"/>
      <c r="D3" s="76"/>
      <c r="E3" s="76"/>
      <c r="G3" s="87"/>
      <c r="H3" s="88"/>
      <c r="I3" s="88"/>
    </row>
    <row r="4" spans="2:13" ht="18.75" customHeight="1">
      <c r="B4" s="76"/>
      <c r="C4" s="76"/>
      <c r="D4" s="76"/>
      <c r="E4" s="76"/>
    </row>
    <row r="5" spans="2:13" ht="24">
      <c r="B5" s="33"/>
      <c r="C5" s="33"/>
      <c r="D5" s="33"/>
    </row>
    <row r="6" spans="2:13" ht="45">
      <c r="B6" s="131"/>
      <c r="C6" s="131"/>
      <c r="D6" s="131"/>
      <c r="E6" s="1"/>
      <c r="F6" s="86" t="s">
        <v>137</v>
      </c>
    </row>
    <row r="7" spans="2:13" ht="24">
      <c r="B7" s="1" t="s">
        <v>20</v>
      </c>
      <c r="C7" s="12"/>
      <c r="D7" s="13">
        <v>2000009338</v>
      </c>
      <c r="E7" s="13"/>
    </row>
    <row r="8" spans="2:13" ht="24">
      <c r="B8" s="12" t="s">
        <v>21</v>
      </c>
      <c r="C8" s="12"/>
      <c r="D8" s="12" t="str">
        <f>受給者情報!C17</f>
        <v>芦澤　凛</v>
      </c>
      <c r="E8" t="s">
        <v>41</v>
      </c>
    </row>
    <row r="12" spans="2:13" ht="31">
      <c r="E12" s="52" t="s">
        <v>22</v>
      </c>
      <c r="F12" s="52"/>
      <c r="G12" s="52"/>
    </row>
    <row r="13" spans="2:13" ht="24">
      <c r="I13" s="14"/>
      <c r="M13" s="37"/>
    </row>
    <row r="14" spans="2:13">
      <c r="M14" s="37"/>
    </row>
    <row r="15" spans="2:13" ht="24" customHeight="1">
      <c r="G15" s="132" t="s">
        <v>23</v>
      </c>
      <c r="H15" s="49" t="s">
        <v>24</v>
      </c>
      <c r="I15" s="49"/>
      <c r="M15" s="37"/>
    </row>
    <row r="16" spans="2:13" ht="24" customHeight="1">
      <c r="G16" s="132"/>
      <c r="H16" s="133" t="s">
        <v>25</v>
      </c>
      <c r="I16" s="133"/>
      <c r="J16" s="133"/>
      <c r="M16" s="37"/>
    </row>
    <row r="17" spans="2:13" ht="40.5" customHeight="1">
      <c r="G17" s="50"/>
      <c r="H17" s="133" t="s">
        <v>27</v>
      </c>
      <c r="I17" s="133"/>
      <c r="J17" s="133"/>
      <c r="M17" s="37"/>
    </row>
    <row r="18" spans="2:13">
      <c r="G18" s="51" t="s">
        <v>28</v>
      </c>
      <c r="H18" s="51" t="str">
        <f>事業者情報!C5&amp;"　"&amp;事業者情報!C6</f>
        <v>代表取締役社長　澤田昌志</v>
      </c>
      <c r="M18" s="37"/>
    </row>
    <row r="19" spans="2:13">
      <c r="G19" s="51" t="s">
        <v>29</v>
      </c>
      <c r="H19" s="51" t="str">
        <f>事業者情報!C7&amp;""</f>
        <v>0566-63-6817</v>
      </c>
      <c r="M19" s="37"/>
    </row>
    <row r="20" spans="2:13">
      <c r="G20" s="51" t="s">
        <v>30</v>
      </c>
      <c r="H20" s="51" t="str">
        <f>事業者情報!C8&amp;""</f>
        <v>0566-63-6818</v>
      </c>
      <c r="M20" s="37"/>
    </row>
    <row r="21" spans="2:13">
      <c r="M21" s="37"/>
    </row>
    <row r="22" spans="2:13" ht="24" customHeight="1">
      <c r="B22" s="134" t="s">
        <v>135</v>
      </c>
      <c r="C22" s="134"/>
      <c r="D22" s="134"/>
      <c r="E22" s="134"/>
      <c r="F22" s="134"/>
      <c r="G22" s="134"/>
      <c r="H22" s="134"/>
      <c r="I22" s="134"/>
      <c r="M22" s="37"/>
    </row>
    <row r="23" spans="2:13" ht="24" customHeight="1">
      <c r="B23" s="134"/>
      <c r="C23" s="134"/>
      <c r="D23" s="134"/>
      <c r="E23" s="134"/>
      <c r="F23" s="134"/>
      <c r="G23" s="134"/>
      <c r="H23" s="134"/>
      <c r="I23" s="134"/>
      <c r="M23" s="37"/>
    </row>
    <row r="25" spans="2:13" ht="27">
      <c r="C25" s="98">
        <v>9</v>
      </c>
      <c r="D25" s="98" t="s">
        <v>173</v>
      </c>
      <c r="E25" s="71" t="s">
        <v>32</v>
      </c>
      <c r="F25" s="72">
        <f>H34</f>
        <v>257038</v>
      </c>
      <c r="G25" s="16" t="s">
        <v>33</v>
      </c>
    </row>
    <row r="27" spans="2:13" ht="24.75" customHeight="1">
      <c r="B27" s="55"/>
      <c r="C27" s="56"/>
      <c r="D27" s="64" t="s">
        <v>42</v>
      </c>
      <c r="E27" s="123" t="s">
        <v>142</v>
      </c>
      <c r="F27" s="124"/>
      <c r="G27" s="124"/>
      <c r="H27" s="125"/>
      <c r="I27" s="12"/>
    </row>
    <row r="28" spans="2:13" ht="24.75" customHeight="1">
      <c r="B28" s="55"/>
      <c r="C28" s="56"/>
      <c r="D28" s="60" t="s">
        <v>139</v>
      </c>
      <c r="E28" s="135" t="s">
        <v>140</v>
      </c>
      <c r="F28" s="124"/>
      <c r="G28" s="124"/>
      <c r="H28" s="125"/>
      <c r="I28" s="12"/>
    </row>
    <row r="29" spans="2:13" ht="24.75" customHeight="1">
      <c r="B29" s="57"/>
      <c r="C29" s="56"/>
      <c r="D29" s="60" t="s">
        <v>43</v>
      </c>
      <c r="E29" s="126">
        <v>45981</v>
      </c>
      <c r="F29" s="124"/>
      <c r="G29" s="124"/>
      <c r="H29" s="125"/>
      <c r="I29" s="53"/>
    </row>
    <row r="30" spans="2:13" ht="24.75" customHeight="1">
      <c r="B30" s="57"/>
      <c r="C30" s="56"/>
      <c r="D30" s="65" t="s">
        <v>44</v>
      </c>
      <c r="E30" s="61"/>
      <c r="F30" s="67"/>
      <c r="G30" s="45"/>
      <c r="H30" s="104">
        <v>247038</v>
      </c>
      <c r="I30" s="73" t="s">
        <v>45</v>
      </c>
    </row>
    <row r="31" spans="2:13" ht="24.75" customHeight="1">
      <c r="B31" s="57"/>
      <c r="C31" s="56"/>
      <c r="D31" s="62" t="s">
        <v>46</v>
      </c>
      <c r="E31" s="68" t="s">
        <v>35</v>
      </c>
      <c r="F31" s="67"/>
      <c r="G31" s="45"/>
      <c r="H31" s="101">
        <f>H30</f>
        <v>247038</v>
      </c>
      <c r="I31" s="74" t="s">
        <v>40</v>
      </c>
    </row>
    <row r="32" spans="2:13" ht="24.75" customHeight="1">
      <c r="B32" s="57"/>
      <c r="C32" s="56"/>
      <c r="D32" s="62"/>
      <c r="E32" s="68" t="s">
        <v>36</v>
      </c>
      <c r="F32" s="67"/>
      <c r="G32" s="45"/>
      <c r="H32" s="102">
        <v>0</v>
      </c>
      <c r="I32" s="74" t="s">
        <v>40</v>
      </c>
    </row>
    <row r="33" spans="2:10" ht="24.75" customHeight="1">
      <c r="B33" s="57"/>
      <c r="C33" s="56"/>
      <c r="D33" s="62"/>
      <c r="E33" s="66" t="s">
        <v>37</v>
      </c>
      <c r="F33" s="69"/>
      <c r="G33" s="43"/>
      <c r="H33" s="103">
        <v>10000</v>
      </c>
      <c r="I33" s="74" t="s">
        <v>40</v>
      </c>
    </row>
    <row r="34" spans="2:10" ht="24">
      <c r="B34" s="57"/>
      <c r="C34" s="56"/>
      <c r="D34" s="42"/>
      <c r="E34" s="38"/>
      <c r="F34" s="38"/>
      <c r="G34" s="63" t="s">
        <v>47</v>
      </c>
      <c r="H34" s="96">
        <f>SUM(H31-H32+H33)</f>
        <v>257038</v>
      </c>
      <c r="I34" s="74" t="s">
        <v>40</v>
      </c>
    </row>
    <row r="35" spans="2:10" ht="24">
      <c r="B35" s="57"/>
      <c r="C35" s="56"/>
      <c r="D35" s="12"/>
      <c r="E35" s="12"/>
      <c r="F35" s="12"/>
      <c r="G35" s="12"/>
      <c r="H35" s="105"/>
      <c r="I35" s="53"/>
    </row>
    <row r="36" spans="2:10" ht="24">
      <c r="B36" s="57"/>
      <c r="C36" s="56"/>
      <c r="D36" s="12"/>
      <c r="E36" s="12"/>
      <c r="F36" s="12"/>
      <c r="G36" s="12"/>
      <c r="H36" s="105"/>
      <c r="I36" s="12"/>
    </row>
    <row r="37" spans="2:10" ht="24">
      <c r="B37" s="57"/>
      <c r="C37" s="56"/>
      <c r="D37" s="12"/>
      <c r="E37" s="12"/>
      <c r="F37" s="12"/>
      <c r="G37" s="12"/>
      <c r="H37" s="105"/>
      <c r="I37" s="12"/>
    </row>
    <row r="38" spans="2:10" ht="24">
      <c r="B38" s="57"/>
      <c r="C38" s="56"/>
      <c r="D38" s="12"/>
      <c r="E38" s="12"/>
      <c r="F38" s="12"/>
      <c r="G38" s="12"/>
      <c r="H38" s="12"/>
      <c r="I38" s="54"/>
    </row>
    <row r="39" spans="2:10" s="11" customFormat="1" ht="20.25" customHeight="1">
      <c r="B39" s="57"/>
      <c r="C39" s="58"/>
      <c r="D39" s="12"/>
      <c r="E39" s="12"/>
      <c r="F39" s="12"/>
      <c r="G39" s="12"/>
      <c r="H39" s="12"/>
      <c r="I39" s="12"/>
      <c r="J39" s="18"/>
    </row>
    <row r="40" spans="2:10" s="11" customFormat="1" ht="20.25" customHeight="1">
      <c r="B40" s="57"/>
      <c r="C40" s="58"/>
      <c r="D40" s="12"/>
      <c r="E40" s="12"/>
      <c r="F40" s="12"/>
      <c r="G40" s="12"/>
      <c r="H40" s="12"/>
      <c r="I40" s="12"/>
    </row>
    <row r="41" spans="2:10" s="11" customFormat="1" ht="20.25" customHeight="1">
      <c r="B41" s="57"/>
      <c r="C41" s="58"/>
      <c r="D41" s="12"/>
      <c r="E41" s="12"/>
      <c r="F41" s="12"/>
      <c r="G41" s="12"/>
      <c r="H41" s="12"/>
      <c r="I41" s="12"/>
    </row>
    <row r="42" spans="2:10" s="11" customFormat="1" ht="20.25" customHeight="1">
      <c r="B42" s="57"/>
      <c r="C42" s="58"/>
      <c r="D42" s="12"/>
      <c r="E42" s="12"/>
      <c r="F42" s="12"/>
      <c r="G42" s="12"/>
      <c r="H42" s="12"/>
      <c r="I42" s="12"/>
    </row>
    <row r="43" spans="2:10" ht="24">
      <c r="B43" s="1"/>
      <c r="C43" s="1"/>
      <c r="D43" s="1"/>
      <c r="E43" s="1"/>
      <c r="F43" s="1"/>
      <c r="G43" s="12"/>
      <c r="H43" s="1"/>
      <c r="I43" s="12"/>
    </row>
    <row r="44" spans="2:10" ht="24">
      <c r="B44" s="12"/>
      <c r="C44" s="12"/>
      <c r="D44" s="12"/>
      <c r="E44" s="12"/>
      <c r="F44" s="12"/>
      <c r="G44" s="12"/>
      <c r="H44" s="12"/>
      <c r="I44" s="41"/>
    </row>
    <row r="45" spans="2:10" ht="24">
      <c r="B45" s="12"/>
      <c r="C45" s="12"/>
      <c r="D45" s="12"/>
      <c r="E45" s="12"/>
      <c r="F45" s="39"/>
      <c r="G45" s="39"/>
      <c r="H45" s="40"/>
      <c r="I45" s="39"/>
    </row>
  </sheetData>
  <mergeCells count="9">
    <mergeCell ref="E27:H27"/>
    <mergeCell ref="E29:H29"/>
    <mergeCell ref="I2:J2"/>
    <mergeCell ref="B6:D6"/>
    <mergeCell ref="G15:G16"/>
    <mergeCell ref="H16:J16"/>
    <mergeCell ref="H17:J17"/>
    <mergeCell ref="B22:I23"/>
    <mergeCell ref="E28:H28"/>
  </mergeCells>
  <phoneticPr fontId="7"/>
  <dataValidations count="1">
    <dataValidation allowBlank="1" showInputMessage="1" showErrorMessage="1" sqref="H2" xr:uid="{B6881231-AD2B-6E4C-A1F3-76F6285F6E2E}"/>
  </dataValidations>
  <pageMargins left="0.7" right="0.7" top="0.75" bottom="0.75" header="0.3" footer="0.3"/>
  <pageSetup paperSize="9" scale="77"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C092F-70FC-294C-9A33-D3D9F33E98ED}">
  <sheetPr codeName="Sheet18">
    <tabColor theme="7"/>
    <pageSetUpPr fitToPage="1"/>
  </sheetPr>
  <dimension ref="B1:M45"/>
  <sheetViews>
    <sheetView topLeftCell="A16" zoomScaleNormal="100" workbookViewId="0">
      <selection activeCell="L33" sqref="L33"/>
    </sheetView>
  </sheetViews>
  <sheetFormatPr baseColWidth="10" defaultColWidth="8.83203125" defaultRowHeight="18"/>
  <cols>
    <col min="1" max="1" width="8.1640625" customWidth="1"/>
    <col min="2" max="2" width="4.33203125" customWidth="1"/>
    <col min="3" max="3" width="8.5" customWidth="1"/>
    <col min="4" max="4" width="17.1640625" customWidth="1"/>
    <col min="5" max="5" width="13.6640625" customWidth="1"/>
    <col min="6" max="6" width="17.1640625" customWidth="1"/>
    <col min="7" max="7" width="13.6640625" customWidth="1"/>
    <col min="8" max="8" width="17.1640625" customWidth="1"/>
    <col min="9" max="9" width="6.5" customWidth="1"/>
    <col min="10" max="10" width="6.6640625" customWidth="1"/>
    <col min="11" max="11" width="11.1640625" customWidth="1"/>
    <col min="12" max="12" width="6.6640625" customWidth="1"/>
    <col min="13" max="13" width="15.83203125" customWidth="1"/>
    <col min="14" max="14" width="17.6640625" customWidth="1"/>
    <col min="15" max="15" width="18.1640625" customWidth="1"/>
  </cols>
  <sheetData>
    <row r="1" spans="2:13">
      <c r="I1" s="10"/>
    </row>
    <row r="2" spans="2:13" ht="24">
      <c r="B2" s="1"/>
      <c r="G2" s="87"/>
      <c r="H2" s="88"/>
      <c r="I2" s="130"/>
      <c r="J2" s="130"/>
    </row>
    <row r="3" spans="2:13" ht="24" customHeight="1">
      <c r="B3" s="76"/>
      <c r="C3" s="76"/>
      <c r="D3" s="76"/>
      <c r="E3" s="76"/>
      <c r="G3" s="87"/>
      <c r="H3" s="88"/>
      <c r="I3" s="88"/>
    </row>
    <row r="4" spans="2:13" ht="18.75" customHeight="1">
      <c r="B4" s="76"/>
      <c r="C4" s="76"/>
      <c r="D4" s="76"/>
      <c r="E4" s="76"/>
    </row>
    <row r="5" spans="2:13" ht="24">
      <c r="B5" s="33"/>
      <c r="C5" s="33"/>
      <c r="D5" s="33"/>
    </row>
    <row r="6" spans="2:13" ht="45">
      <c r="B6" s="131"/>
      <c r="C6" s="131"/>
      <c r="D6" s="131"/>
      <c r="E6" s="1"/>
      <c r="F6" s="86" t="s">
        <v>137</v>
      </c>
    </row>
    <row r="7" spans="2:13" ht="24">
      <c r="B7" s="1" t="s">
        <v>20</v>
      </c>
      <c r="C7" s="12"/>
      <c r="D7" s="13">
        <v>2000009072</v>
      </c>
      <c r="E7" s="13"/>
    </row>
    <row r="8" spans="2:13" ht="24">
      <c r="B8" s="12" t="s">
        <v>21</v>
      </c>
      <c r="C8" s="12"/>
      <c r="D8" s="12" t="str">
        <f>受給者情報!C18</f>
        <v>西山　希望</v>
      </c>
      <c r="E8" t="s">
        <v>41</v>
      </c>
    </row>
    <row r="12" spans="2:13" ht="31">
      <c r="E12" s="52" t="s">
        <v>22</v>
      </c>
      <c r="F12" s="52"/>
      <c r="G12" s="52"/>
    </row>
    <row r="13" spans="2:13" ht="24">
      <c r="I13" s="14"/>
      <c r="M13" s="37"/>
    </row>
    <row r="14" spans="2:13">
      <c r="M14" s="37"/>
    </row>
    <row r="15" spans="2:13" ht="24" customHeight="1">
      <c r="G15" s="132" t="s">
        <v>23</v>
      </c>
      <c r="H15" s="49" t="s">
        <v>24</v>
      </c>
      <c r="I15" s="49"/>
      <c r="M15" s="37"/>
    </row>
    <row r="16" spans="2:13" ht="24" customHeight="1">
      <c r="G16" s="132"/>
      <c r="H16" s="133" t="s">
        <v>25</v>
      </c>
      <c r="I16" s="133"/>
      <c r="J16" s="133"/>
      <c r="M16" s="37"/>
    </row>
    <row r="17" spans="2:13" ht="40.5" customHeight="1">
      <c r="G17" s="50"/>
      <c r="H17" s="133" t="s">
        <v>27</v>
      </c>
      <c r="I17" s="133"/>
      <c r="J17" s="133"/>
      <c r="M17" s="37"/>
    </row>
    <row r="18" spans="2:13">
      <c r="G18" s="51" t="s">
        <v>28</v>
      </c>
      <c r="H18" s="51" t="str">
        <f>事業者情報!C5&amp;"　"&amp;事業者情報!C6</f>
        <v>代表取締役社長　澤田昌志</v>
      </c>
      <c r="M18" s="37"/>
    </row>
    <row r="19" spans="2:13">
      <c r="G19" s="51" t="s">
        <v>29</v>
      </c>
      <c r="H19" s="51" t="str">
        <f>事業者情報!C7&amp;""</f>
        <v>0566-63-6817</v>
      </c>
      <c r="M19" s="37"/>
    </row>
    <row r="20" spans="2:13">
      <c r="G20" s="51" t="s">
        <v>30</v>
      </c>
      <c r="H20" s="51" t="str">
        <f>事業者情報!C8&amp;""</f>
        <v>0566-63-6818</v>
      </c>
      <c r="M20" s="37"/>
    </row>
    <row r="21" spans="2:13">
      <c r="M21" s="37"/>
    </row>
    <row r="22" spans="2:13" ht="24" customHeight="1">
      <c r="B22" s="134" t="s">
        <v>136</v>
      </c>
      <c r="C22" s="134"/>
      <c r="D22" s="134"/>
      <c r="E22" s="134"/>
      <c r="F22" s="134"/>
      <c r="G22" s="134"/>
      <c r="H22" s="134"/>
      <c r="I22" s="134"/>
      <c r="M22" s="37"/>
    </row>
    <row r="23" spans="2:13" ht="24" customHeight="1">
      <c r="B23" s="134"/>
      <c r="C23" s="134"/>
      <c r="D23" s="134"/>
      <c r="E23" s="134"/>
      <c r="F23" s="134"/>
      <c r="G23" s="134"/>
      <c r="H23" s="134"/>
      <c r="I23" s="134"/>
      <c r="M23" s="37"/>
    </row>
    <row r="25" spans="2:13" ht="27">
      <c r="C25" s="98">
        <v>10</v>
      </c>
      <c r="D25" s="98" t="s">
        <v>173</v>
      </c>
      <c r="E25" s="71" t="s">
        <v>32</v>
      </c>
      <c r="F25" s="72">
        <f>H34</f>
        <v>10000</v>
      </c>
      <c r="G25" s="16" t="s">
        <v>33</v>
      </c>
    </row>
    <row r="27" spans="2:13" ht="24.75" customHeight="1">
      <c r="B27" s="55"/>
      <c r="C27" s="56"/>
      <c r="D27" s="64" t="s">
        <v>42</v>
      </c>
      <c r="E27" s="123" t="s">
        <v>148</v>
      </c>
      <c r="F27" s="124"/>
      <c r="G27" s="124"/>
      <c r="H27" s="125"/>
      <c r="I27" s="12"/>
    </row>
    <row r="28" spans="2:13" ht="24.75" customHeight="1">
      <c r="B28" s="55"/>
      <c r="C28" s="56"/>
      <c r="D28" s="60" t="s">
        <v>139</v>
      </c>
      <c r="E28" s="135" t="s">
        <v>140</v>
      </c>
      <c r="F28" s="124"/>
      <c r="G28" s="124"/>
      <c r="H28" s="125"/>
      <c r="I28" s="12"/>
    </row>
    <row r="29" spans="2:13" ht="24.75" customHeight="1">
      <c r="B29" s="57"/>
      <c r="C29" s="56"/>
      <c r="D29" s="60" t="s">
        <v>43</v>
      </c>
      <c r="E29" s="126">
        <v>46010</v>
      </c>
      <c r="F29" s="124"/>
      <c r="G29" s="124"/>
      <c r="H29" s="125"/>
      <c r="I29" s="53"/>
    </row>
    <row r="30" spans="2:13" ht="24.75" customHeight="1">
      <c r="B30" s="57"/>
      <c r="C30" s="56"/>
      <c r="D30" s="65" t="s">
        <v>44</v>
      </c>
      <c r="E30" s="61"/>
      <c r="F30" s="67"/>
      <c r="G30" s="45"/>
      <c r="H30" s="46"/>
      <c r="I30" s="73" t="s">
        <v>45</v>
      </c>
    </row>
    <row r="31" spans="2:13" ht="24.75" customHeight="1">
      <c r="B31" s="57"/>
      <c r="C31" s="56"/>
      <c r="D31" s="62" t="s">
        <v>46</v>
      </c>
      <c r="E31" s="68" t="s">
        <v>35</v>
      </c>
      <c r="F31" s="67"/>
      <c r="G31" s="45"/>
      <c r="H31" s="44">
        <f>H30</f>
        <v>0</v>
      </c>
      <c r="I31" s="74" t="s">
        <v>40</v>
      </c>
    </row>
    <row r="32" spans="2:13" ht="24.75" customHeight="1">
      <c r="B32" s="57"/>
      <c r="C32" s="56"/>
      <c r="D32" s="62"/>
      <c r="E32" s="68" t="s">
        <v>36</v>
      </c>
      <c r="F32" s="67"/>
      <c r="G32" s="45"/>
      <c r="H32" s="45">
        <v>0</v>
      </c>
      <c r="I32" s="74" t="s">
        <v>40</v>
      </c>
    </row>
    <row r="33" spans="2:10" ht="24.75" customHeight="1">
      <c r="B33" s="57"/>
      <c r="C33" s="56"/>
      <c r="D33" s="62"/>
      <c r="E33" s="66" t="s">
        <v>37</v>
      </c>
      <c r="F33" s="69"/>
      <c r="G33" s="43"/>
      <c r="H33" s="59">
        <v>10000</v>
      </c>
      <c r="I33" s="74" t="s">
        <v>40</v>
      </c>
    </row>
    <row r="34" spans="2:10" ht="24">
      <c r="B34" s="57"/>
      <c r="C34" s="56"/>
      <c r="D34" s="42"/>
      <c r="E34" s="38"/>
      <c r="F34" s="38"/>
      <c r="G34" s="63" t="s">
        <v>47</v>
      </c>
      <c r="H34" s="70">
        <f>SUM(H31-H32+H33)</f>
        <v>10000</v>
      </c>
      <c r="I34" s="74" t="s">
        <v>40</v>
      </c>
    </row>
    <row r="35" spans="2:10" ht="24">
      <c r="B35" s="57"/>
      <c r="C35" s="56"/>
      <c r="D35" s="12"/>
      <c r="E35" s="12"/>
      <c r="F35" s="12"/>
      <c r="G35" s="12"/>
      <c r="H35" s="12"/>
      <c r="I35" s="53"/>
    </row>
    <row r="36" spans="2:10" ht="24">
      <c r="B36" s="57"/>
      <c r="C36" s="56"/>
      <c r="D36" s="12"/>
      <c r="E36" s="12"/>
      <c r="F36" s="12"/>
      <c r="G36" s="12"/>
      <c r="H36" s="12"/>
      <c r="I36" s="12"/>
    </row>
    <row r="37" spans="2:10" ht="24">
      <c r="B37" s="57"/>
      <c r="C37" s="56"/>
      <c r="D37" s="12"/>
      <c r="E37" s="12"/>
      <c r="F37" s="12"/>
      <c r="G37" s="12"/>
      <c r="H37" s="12"/>
      <c r="I37" s="12"/>
    </row>
    <row r="38" spans="2:10" ht="24">
      <c r="B38" s="57"/>
      <c r="C38" s="56"/>
      <c r="D38" s="12"/>
      <c r="E38" s="12"/>
      <c r="F38" s="12"/>
      <c r="G38" s="12"/>
      <c r="H38" s="12"/>
      <c r="I38" s="54"/>
    </row>
    <row r="39" spans="2:10" s="11" customFormat="1" ht="20.25" customHeight="1">
      <c r="B39" s="57"/>
      <c r="C39" s="58"/>
      <c r="D39" s="12"/>
      <c r="E39" s="12"/>
      <c r="F39" s="12"/>
      <c r="G39" s="12"/>
      <c r="H39" s="12"/>
      <c r="I39" s="12"/>
      <c r="J39" s="18"/>
    </row>
    <row r="40" spans="2:10" s="11" customFormat="1" ht="20.25" customHeight="1">
      <c r="B40" s="57"/>
      <c r="C40" s="58"/>
      <c r="D40" s="12"/>
      <c r="E40" s="12"/>
      <c r="F40" s="12"/>
      <c r="G40" s="12"/>
      <c r="H40" s="12"/>
      <c r="I40" s="12"/>
    </row>
    <row r="41" spans="2:10" s="11" customFormat="1" ht="20.25" customHeight="1">
      <c r="B41" s="57"/>
      <c r="C41" s="58"/>
      <c r="D41" s="12"/>
      <c r="E41" s="12"/>
      <c r="F41" s="12"/>
      <c r="G41" s="12"/>
      <c r="H41" s="12"/>
      <c r="I41" s="12"/>
    </row>
    <row r="42" spans="2:10" s="11" customFormat="1" ht="20.25" customHeight="1">
      <c r="B42" s="57"/>
      <c r="C42" s="58"/>
      <c r="D42" s="12"/>
      <c r="E42" s="12"/>
      <c r="F42" s="12"/>
      <c r="G42" s="12"/>
      <c r="H42" s="12"/>
      <c r="I42" s="12"/>
    </row>
    <row r="43" spans="2:10" ht="24">
      <c r="B43" s="1"/>
      <c r="C43" s="1"/>
      <c r="D43" s="1"/>
      <c r="E43" s="1"/>
      <c r="F43" s="1"/>
      <c r="G43" s="12"/>
      <c r="H43" s="1"/>
      <c r="I43" s="12"/>
    </row>
    <row r="44" spans="2:10" ht="24">
      <c r="B44" s="12"/>
      <c r="C44" s="12"/>
      <c r="D44" s="12"/>
      <c r="E44" s="12"/>
      <c r="F44" s="12"/>
      <c r="G44" s="12"/>
      <c r="H44" s="12"/>
      <c r="I44" s="41"/>
    </row>
    <row r="45" spans="2:10" ht="24">
      <c r="B45" s="12"/>
      <c r="C45" s="12"/>
      <c r="D45" s="12"/>
      <c r="E45" s="12"/>
      <c r="F45" s="39"/>
      <c r="G45" s="39"/>
      <c r="H45" s="40"/>
      <c r="I45" s="39"/>
    </row>
  </sheetData>
  <mergeCells count="9">
    <mergeCell ref="E27:H27"/>
    <mergeCell ref="E29:H29"/>
    <mergeCell ref="I2:J2"/>
    <mergeCell ref="B6:D6"/>
    <mergeCell ref="G15:G16"/>
    <mergeCell ref="H16:J16"/>
    <mergeCell ref="H17:J17"/>
    <mergeCell ref="B22:I23"/>
    <mergeCell ref="E28:H28"/>
  </mergeCells>
  <phoneticPr fontId="7"/>
  <dataValidations count="1">
    <dataValidation allowBlank="1" showInputMessage="1" showErrorMessage="1" sqref="H2" xr:uid="{3EB8E95B-E6FB-9443-A2EF-AD91DFBC03DF}"/>
  </dataValidations>
  <pageMargins left="0.7" right="0.7" top="0.75" bottom="0.75" header="0.3" footer="0.3"/>
  <pageSetup paperSize="9" scale="77"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3A75C-3D39-6748-8ECC-62D8565BCCD0}">
  <sheetPr codeName="Sheet19">
    <tabColor theme="7"/>
    <pageSetUpPr fitToPage="1"/>
  </sheetPr>
  <dimension ref="B1:M45"/>
  <sheetViews>
    <sheetView topLeftCell="A15" zoomScaleNormal="100" workbookViewId="0">
      <selection activeCell="H32" sqref="H32"/>
    </sheetView>
  </sheetViews>
  <sheetFormatPr baseColWidth="10" defaultColWidth="8.83203125" defaultRowHeight="18"/>
  <cols>
    <col min="1" max="1" width="8.1640625" customWidth="1"/>
    <col min="2" max="2" width="4.33203125" customWidth="1"/>
    <col min="3" max="3" width="8.5" customWidth="1"/>
    <col min="4" max="4" width="17.1640625" customWidth="1"/>
    <col min="5" max="5" width="13.6640625" customWidth="1"/>
    <col min="6" max="6" width="17.1640625" customWidth="1"/>
    <col min="7" max="7" width="13.6640625" customWidth="1"/>
    <col min="8" max="8" width="17.1640625" customWidth="1"/>
    <col min="9" max="9" width="6.5" customWidth="1"/>
    <col min="10" max="10" width="6.6640625" customWidth="1"/>
    <col min="11" max="11" width="11.1640625" customWidth="1"/>
    <col min="12" max="12" width="6.6640625" customWidth="1"/>
    <col min="13" max="13" width="15.83203125" customWidth="1"/>
    <col min="14" max="14" width="17.6640625" customWidth="1"/>
    <col min="15" max="15" width="18.1640625" customWidth="1"/>
  </cols>
  <sheetData>
    <row r="1" spans="2:13">
      <c r="I1" s="10"/>
    </row>
    <row r="2" spans="2:13" ht="24">
      <c r="B2" s="1"/>
      <c r="G2" s="87"/>
      <c r="H2" s="88"/>
      <c r="I2" s="130"/>
      <c r="J2" s="130"/>
    </row>
    <row r="3" spans="2:13" ht="24" customHeight="1">
      <c r="B3" s="76"/>
      <c r="C3" s="76"/>
      <c r="D3" s="76"/>
      <c r="E3" s="76"/>
      <c r="G3" s="87"/>
      <c r="H3" s="88"/>
      <c r="I3" s="88"/>
    </row>
    <row r="4" spans="2:13" ht="18.75" customHeight="1">
      <c r="B4" s="76"/>
      <c r="C4" s="76"/>
      <c r="D4" s="76"/>
      <c r="E4" s="76"/>
    </row>
    <row r="5" spans="2:13" ht="24">
      <c r="B5" s="33"/>
      <c r="C5" s="33"/>
      <c r="D5" s="33"/>
    </row>
    <row r="6" spans="2:13" ht="45">
      <c r="B6" s="131"/>
      <c r="C6" s="131"/>
      <c r="D6" s="131"/>
      <c r="E6" s="1"/>
      <c r="F6" s="86" t="s">
        <v>137</v>
      </c>
    </row>
    <row r="7" spans="2:13" ht="24">
      <c r="B7" s="1" t="s">
        <v>20</v>
      </c>
      <c r="C7" s="12"/>
      <c r="D7" s="13">
        <v>6000001708</v>
      </c>
      <c r="E7" s="13"/>
    </row>
    <row r="8" spans="2:13" ht="24">
      <c r="B8" s="12" t="s">
        <v>21</v>
      </c>
      <c r="C8" s="12"/>
      <c r="D8" s="12" t="str">
        <f>受給者情報!C19</f>
        <v>筒井　奈都美</v>
      </c>
      <c r="E8" t="s">
        <v>41</v>
      </c>
    </row>
    <row r="12" spans="2:13" ht="31">
      <c r="E12" s="52" t="s">
        <v>22</v>
      </c>
      <c r="F12" s="52"/>
      <c r="G12" s="52"/>
    </row>
    <row r="13" spans="2:13" ht="24">
      <c r="I13" s="14"/>
      <c r="M13" s="37"/>
    </row>
    <row r="14" spans="2:13">
      <c r="M14" s="37"/>
    </row>
    <row r="15" spans="2:13" ht="24" customHeight="1">
      <c r="G15" s="132" t="s">
        <v>23</v>
      </c>
      <c r="H15" s="49" t="s">
        <v>24</v>
      </c>
      <c r="I15" s="49"/>
      <c r="M15" s="37"/>
    </row>
    <row r="16" spans="2:13" ht="24" customHeight="1">
      <c r="G16" s="132"/>
      <c r="H16" s="133" t="s">
        <v>25</v>
      </c>
      <c r="I16" s="133"/>
      <c r="J16" s="133"/>
      <c r="M16" s="37"/>
    </row>
    <row r="17" spans="2:13" ht="40.5" customHeight="1">
      <c r="G17" s="50"/>
      <c r="H17" s="133" t="s">
        <v>27</v>
      </c>
      <c r="I17" s="133"/>
      <c r="J17" s="133"/>
      <c r="M17" s="37"/>
    </row>
    <row r="18" spans="2:13">
      <c r="G18" s="51" t="s">
        <v>28</v>
      </c>
      <c r="H18" s="51" t="str">
        <f>事業者情報!C5&amp;"　"&amp;事業者情報!C6</f>
        <v>代表取締役社長　澤田昌志</v>
      </c>
      <c r="M18" s="37"/>
    </row>
    <row r="19" spans="2:13">
      <c r="G19" s="51" t="s">
        <v>29</v>
      </c>
      <c r="H19" s="51" t="str">
        <f>事業者情報!C7&amp;""</f>
        <v>0566-63-6817</v>
      </c>
      <c r="M19" s="37"/>
    </row>
    <row r="20" spans="2:13">
      <c r="G20" s="51" t="s">
        <v>30</v>
      </c>
      <c r="H20" s="51" t="str">
        <f>事業者情報!C8&amp;""</f>
        <v>0566-63-6818</v>
      </c>
      <c r="M20" s="37"/>
    </row>
    <row r="21" spans="2:13">
      <c r="M21" s="37"/>
    </row>
    <row r="22" spans="2:13" ht="24" customHeight="1">
      <c r="B22" s="134" t="s">
        <v>135</v>
      </c>
      <c r="C22" s="134"/>
      <c r="D22" s="134"/>
      <c r="E22" s="134"/>
      <c r="F22" s="134"/>
      <c r="G22" s="134"/>
      <c r="H22" s="134"/>
      <c r="I22" s="134"/>
      <c r="M22" s="37"/>
    </row>
    <row r="23" spans="2:13" ht="24" customHeight="1">
      <c r="B23" s="134"/>
      <c r="C23" s="134"/>
      <c r="D23" s="134"/>
      <c r="E23" s="134"/>
      <c r="F23" s="134"/>
      <c r="G23" s="134"/>
      <c r="H23" s="134"/>
      <c r="I23" s="134"/>
      <c r="M23" s="37"/>
    </row>
    <row r="25" spans="2:13" ht="27">
      <c r="C25" s="98">
        <v>9</v>
      </c>
      <c r="D25" s="98" t="s">
        <v>173</v>
      </c>
      <c r="E25" s="71" t="s">
        <v>32</v>
      </c>
      <c r="F25" s="72">
        <f>H34</f>
        <v>494825</v>
      </c>
      <c r="G25" s="16" t="s">
        <v>33</v>
      </c>
    </row>
    <row r="27" spans="2:13" ht="24.75" customHeight="1">
      <c r="B27" s="55"/>
      <c r="C27" s="56"/>
      <c r="D27" s="64" t="s">
        <v>42</v>
      </c>
      <c r="E27" s="123" t="s">
        <v>162</v>
      </c>
      <c r="F27" s="124"/>
      <c r="G27" s="124"/>
      <c r="H27" s="125"/>
      <c r="I27" s="12"/>
    </row>
    <row r="28" spans="2:13" ht="24.75" customHeight="1">
      <c r="B28" s="55"/>
      <c r="C28" s="56"/>
      <c r="D28" s="60" t="s">
        <v>139</v>
      </c>
      <c r="E28" s="135" t="s">
        <v>140</v>
      </c>
      <c r="F28" s="124"/>
      <c r="G28" s="124"/>
      <c r="H28" s="125"/>
      <c r="I28" s="12"/>
    </row>
    <row r="29" spans="2:13" ht="24.75" customHeight="1">
      <c r="B29" s="57"/>
      <c r="C29" s="56"/>
      <c r="D29" s="60" t="s">
        <v>43</v>
      </c>
      <c r="E29" s="126">
        <v>45981</v>
      </c>
      <c r="F29" s="124"/>
      <c r="G29" s="124"/>
      <c r="H29" s="125"/>
      <c r="I29" s="53"/>
    </row>
    <row r="30" spans="2:13" ht="24.75" customHeight="1">
      <c r="B30" s="57"/>
      <c r="C30" s="56"/>
      <c r="D30" s="65" t="s">
        <v>44</v>
      </c>
      <c r="E30" s="61"/>
      <c r="F30" s="67"/>
      <c r="G30" s="45"/>
      <c r="H30" s="104">
        <v>484825</v>
      </c>
      <c r="I30" s="73" t="s">
        <v>45</v>
      </c>
    </row>
    <row r="31" spans="2:13" ht="24.75" customHeight="1">
      <c r="B31" s="57"/>
      <c r="C31" s="56"/>
      <c r="D31" s="62" t="s">
        <v>46</v>
      </c>
      <c r="E31" s="68" t="s">
        <v>35</v>
      </c>
      <c r="F31" s="67"/>
      <c r="G31" s="45"/>
      <c r="H31" s="101">
        <f>H30</f>
        <v>484825</v>
      </c>
      <c r="I31" s="74" t="s">
        <v>40</v>
      </c>
    </row>
    <row r="32" spans="2:13" ht="24.75" customHeight="1">
      <c r="B32" s="57"/>
      <c r="C32" s="56"/>
      <c r="D32" s="62"/>
      <c r="E32" s="68" t="s">
        <v>36</v>
      </c>
      <c r="F32" s="67"/>
      <c r="G32" s="45"/>
      <c r="H32" s="102">
        <v>0</v>
      </c>
      <c r="I32" s="74" t="s">
        <v>40</v>
      </c>
    </row>
    <row r="33" spans="2:10" ht="24.75" customHeight="1">
      <c r="B33" s="57"/>
      <c r="C33" s="56"/>
      <c r="D33" s="62"/>
      <c r="E33" s="66" t="s">
        <v>37</v>
      </c>
      <c r="F33" s="69"/>
      <c r="G33" s="43"/>
      <c r="H33" s="103">
        <v>10000</v>
      </c>
      <c r="I33" s="74" t="s">
        <v>40</v>
      </c>
    </row>
    <row r="34" spans="2:10" ht="24">
      <c r="B34" s="57"/>
      <c r="C34" s="56"/>
      <c r="D34" s="42"/>
      <c r="E34" s="38"/>
      <c r="F34" s="38"/>
      <c r="G34" s="63" t="s">
        <v>47</v>
      </c>
      <c r="H34" s="96">
        <f>SUM(H31-H32+H33)</f>
        <v>494825</v>
      </c>
      <c r="I34" s="74" t="s">
        <v>40</v>
      </c>
    </row>
    <row r="35" spans="2:10" ht="24">
      <c r="B35" s="57"/>
      <c r="C35" s="56"/>
      <c r="D35" s="12"/>
      <c r="E35" s="12"/>
      <c r="F35" s="12"/>
      <c r="G35" s="12"/>
      <c r="H35" s="105"/>
      <c r="I35" s="53"/>
    </row>
    <row r="36" spans="2:10" ht="24">
      <c r="B36" s="57"/>
      <c r="C36" s="56"/>
      <c r="D36" s="12"/>
      <c r="E36" s="12"/>
      <c r="F36" s="12"/>
      <c r="G36" s="12"/>
      <c r="H36" s="105"/>
      <c r="I36" s="12"/>
    </row>
    <row r="37" spans="2:10" ht="24">
      <c r="B37" s="57"/>
      <c r="C37" s="56"/>
      <c r="D37" s="12"/>
      <c r="E37" s="12"/>
      <c r="F37" s="12"/>
      <c r="G37" s="12"/>
      <c r="H37" s="12"/>
      <c r="I37" s="12"/>
    </row>
    <row r="38" spans="2:10" ht="24">
      <c r="B38" s="57"/>
      <c r="C38" s="56"/>
      <c r="D38" s="12"/>
      <c r="E38" s="12"/>
      <c r="F38" s="12"/>
      <c r="G38" s="12"/>
      <c r="H38" s="12"/>
      <c r="I38" s="54"/>
    </row>
    <row r="39" spans="2:10" s="11" customFormat="1" ht="20.25" customHeight="1">
      <c r="B39" s="57"/>
      <c r="C39" s="58"/>
      <c r="D39" s="12"/>
      <c r="E39" s="12"/>
      <c r="F39" s="12"/>
      <c r="G39" s="12"/>
      <c r="H39" s="12"/>
      <c r="I39" s="12"/>
      <c r="J39" s="18"/>
    </row>
    <row r="40" spans="2:10" s="11" customFormat="1" ht="20.25" customHeight="1">
      <c r="B40" s="57"/>
      <c r="C40" s="58"/>
      <c r="D40" s="12"/>
      <c r="E40" s="12"/>
      <c r="F40" s="12"/>
      <c r="G40" s="12"/>
      <c r="H40" s="12"/>
      <c r="I40" s="12"/>
    </row>
    <row r="41" spans="2:10" s="11" customFormat="1" ht="20.25" customHeight="1">
      <c r="B41" s="57"/>
      <c r="C41" s="58"/>
      <c r="D41" s="12"/>
      <c r="E41" s="12"/>
      <c r="F41" s="12"/>
      <c r="G41" s="12"/>
      <c r="H41" s="12"/>
      <c r="I41" s="12"/>
    </row>
    <row r="42" spans="2:10" s="11" customFormat="1" ht="20.25" customHeight="1">
      <c r="B42" s="57"/>
      <c r="C42" s="58"/>
      <c r="D42" s="12"/>
      <c r="E42" s="12"/>
      <c r="F42" s="12"/>
      <c r="G42" s="12"/>
      <c r="H42" s="12"/>
      <c r="I42" s="12"/>
    </row>
    <row r="43" spans="2:10" ht="24">
      <c r="B43" s="1"/>
      <c r="C43" s="1"/>
      <c r="D43" s="1"/>
      <c r="E43" s="1"/>
      <c r="F43" s="1"/>
      <c r="G43" s="12"/>
      <c r="H43" s="1"/>
      <c r="I43" s="12"/>
    </row>
    <row r="44" spans="2:10" ht="24">
      <c r="B44" s="12"/>
      <c r="C44" s="12"/>
      <c r="D44" s="12"/>
      <c r="E44" s="12"/>
      <c r="F44" s="12"/>
      <c r="G44" s="12"/>
      <c r="H44" s="12"/>
      <c r="I44" s="41"/>
    </row>
    <row r="45" spans="2:10" ht="24">
      <c r="B45" s="12"/>
      <c r="C45" s="12"/>
      <c r="D45" s="12"/>
      <c r="E45" s="12"/>
      <c r="F45" s="39"/>
      <c r="G45" s="39"/>
      <c r="H45" s="40"/>
      <c r="I45" s="39"/>
    </row>
  </sheetData>
  <mergeCells count="9">
    <mergeCell ref="E27:H27"/>
    <mergeCell ref="E29:H29"/>
    <mergeCell ref="I2:J2"/>
    <mergeCell ref="B6:D6"/>
    <mergeCell ref="G15:G16"/>
    <mergeCell ref="H16:J16"/>
    <mergeCell ref="H17:J17"/>
    <mergeCell ref="B22:I23"/>
    <mergeCell ref="E28:H28"/>
  </mergeCells>
  <phoneticPr fontId="7"/>
  <dataValidations count="1">
    <dataValidation allowBlank="1" showInputMessage="1" showErrorMessage="1" sqref="H2" xr:uid="{F572E7D1-0535-6641-83C2-001A798B5887}"/>
  </dataValidations>
  <pageMargins left="0.7" right="0.7" top="0.75" bottom="0.75" header="0.3" footer="0.3"/>
  <pageSetup paperSize="9" scale="77"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97D86-36D2-F540-A03F-0187B76D7FDE}">
  <sheetPr codeName="Sheet20">
    <tabColor theme="7"/>
    <pageSetUpPr fitToPage="1"/>
  </sheetPr>
  <dimension ref="B1:M45"/>
  <sheetViews>
    <sheetView topLeftCell="A13" zoomScaleNormal="100" workbookViewId="0">
      <selection activeCell="H32" sqref="H32"/>
    </sheetView>
  </sheetViews>
  <sheetFormatPr baseColWidth="10" defaultColWidth="8.83203125" defaultRowHeight="18"/>
  <cols>
    <col min="1" max="1" width="8.1640625" customWidth="1"/>
    <col min="2" max="2" width="4.33203125" customWidth="1"/>
    <col min="3" max="3" width="8.5" customWidth="1"/>
    <col min="4" max="4" width="17.1640625" customWidth="1"/>
    <col min="5" max="5" width="13.6640625" customWidth="1"/>
    <col min="6" max="6" width="17.1640625" customWidth="1"/>
    <col min="7" max="7" width="13.6640625" customWidth="1"/>
    <col min="8" max="8" width="17.1640625" customWidth="1"/>
    <col min="9" max="9" width="6.5" customWidth="1"/>
    <col min="10" max="10" width="6.6640625" customWidth="1"/>
    <col min="11" max="11" width="11.1640625" customWidth="1"/>
    <col min="12" max="12" width="6.6640625" customWidth="1"/>
    <col min="13" max="13" width="15.83203125" customWidth="1"/>
    <col min="14" max="14" width="17.6640625" customWidth="1"/>
    <col min="15" max="15" width="18.1640625" customWidth="1"/>
  </cols>
  <sheetData>
    <row r="1" spans="2:13">
      <c r="I1" s="10"/>
    </row>
    <row r="2" spans="2:13" ht="24">
      <c r="B2" s="1"/>
      <c r="G2" s="87"/>
      <c r="H2" s="88"/>
      <c r="I2" s="130"/>
      <c r="J2" s="130"/>
    </row>
    <row r="3" spans="2:13" ht="24" customHeight="1">
      <c r="B3" s="76"/>
      <c r="C3" s="76"/>
      <c r="D3" s="76"/>
      <c r="E3" s="76"/>
      <c r="G3" s="87"/>
      <c r="H3" s="88"/>
      <c r="I3" s="88"/>
    </row>
    <row r="4" spans="2:13" ht="18.75" customHeight="1">
      <c r="B4" s="76"/>
      <c r="C4" s="76"/>
      <c r="D4" s="76"/>
      <c r="E4" s="76"/>
    </row>
    <row r="5" spans="2:13" ht="24">
      <c r="B5" s="33"/>
      <c r="C5" s="33"/>
      <c r="D5" s="33"/>
    </row>
    <row r="6" spans="2:13" ht="45">
      <c r="B6" s="131"/>
      <c r="C6" s="131"/>
      <c r="D6" s="131"/>
      <c r="E6" s="1"/>
      <c r="F6" s="86" t="s">
        <v>137</v>
      </c>
    </row>
    <row r="7" spans="2:13" ht="24">
      <c r="B7" s="1" t="s">
        <v>20</v>
      </c>
      <c r="C7" s="12"/>
      <c r="D7" s="13">
        <v>3000010052</v>
      </c>
      <c r="E7" s="13"/>
    </row>
    <row r="8" spans="2:13" ht="24">
      <c r="B8" s="12" t="s">
        <v>21</v>
      </c>
      <c r="C8" s="12"/>
      <c r="D8" s="12" t="str">
        <f>受給者情報!C20</f>
        <v>加藤　則子</v>
      </c>
      <c r="E8" t="s">
        <v>41</v>
      </c>
    </row>
    <row r="12" spans="2:13" ht="31">
      <c r="E12" s="52" t="s">
        <v>22</v>
      </c>
      <c r="F12" s="52"/>
      <c r="G12" s="52"/>
    </row>
    <row r="13" spans="2:13" ht="24">
      <c r="I13" s="14"/>
      <c r="M13" s="37"/>
    </row>
    <row r="14" spans="2:13">
      <c r="M14" s="37"/>
    </row>
    <row r="15" spans="2:13" ht="24" customHeight="1">
      <c r="G15" s="132" t="s">
        <v>23</v>
      </c>
      <c r="H15" s="49" t="s">
        <v>24</v>
      </c>
      <c r="I15" s="49"/>
      <c r="M15" s="37"/>
    </row>
    <row r="16" spans="2:13" ht="24" customHeight="1">
      <c r="G16" s="132"/>
      <c r="H16" s="133" t="s">
        <v>25</v>
      </c>
      <c r="I16" s="133"/>
      <c r="J16" s="133"/>
      <c r="M16" s="37"/>
    </row>
    <row r="17" spans="2:13" ht="40.5" customHeight="1">
      <c r="G17" s="50"/>
      <c r="H17" s="133" t="s">
        <v>27</v>
      </c>
      <c r="I17" s="133"/>
      <c r="J17" s="133"/>
      <c r="M17" s="37"/>
    </row>
    <row r="18" spans="2:13">
      <c r="G18" s="51" t="s">
        <v>28</v>
      </c>
      <c r="H18" s="51" t="str">
        <f>事業者情報!C5&amp;"　"&amp;事業者情報!C6</f>
        <v>代表取締役社長　澤田昌志</v>
      </c>
      <c r="M18" s="37"/>
    </row>
    <row r="19" spans="2:13">
      <c r="G19" s="51" t="s">
        <v>29</v>
      </c>
      <c r="H19" s="51" t="str">
        <f>事業者情報!C7&amp;""</f>
        <v>0566-63-6817</v>
      </c>
      <c r="M19" s="37"/>
    </row>
    <row r="20" spans="2:13">
      <c r="G20" s="51" t="s">
        <v>30</v>
      </c>
      <c r="H20" s="51" t="str">
        <f>事業者情報!C8&amp;""</f>
        <v>0566-63-6818</v>
      </c>
      <c r="M20" s="37"/>
    </row>
    <row r="21" spans="2:13">
      <c r="M21" s="37"/>
    </row>
    <row r="22" spans="2:13" ht="24" customHeight="1">
      <c r="B22" s="134" t="s">
        <v>135</v>
      </c>
      <c r="C22" s="134"/>
      <c r="D22" s="134"/>
      <c r="E22" s="134"/>
      <c r="F22" s="134"/>
      <c r="G22" s="134"/>
      <c r="H22" s="134"/>
      <c r="I22" s="134"/>
      <c r="M22" s="37"/>
    </row>
    <row r="23" spans="2:13" ht="24" customHeight="1">
      <c r="B23" s="134"/>
      <c r="C23" s="134"/>
      <c r="D23" s="134"/>
      <c r="E23" s="134"/>
      <c r="F23" s="134"/>
      <c r="G23" s="134"/>
      <c r="H23" s="134"/>
      <c r="I23" s="134"/>
      <c r="M23" s="37"/>
    </row>
    <row r="25" spans="2:13" ht="27">
      <c r="C25" s="98">
        <v>9</v>
      </c>
      <c r="D25" s="98" t="s">
        <v>173</v>
      </c>
      <c r="E25" s="71" t="s">
        <v>32</v>
      </c>
      <c r="F25" s="72">
        <f>H34</f>
        <v>317462</v>
      </c>
      <c r="G25" s="16" t="s">
        <v>33</v>
      </c>
    </row>
    <row r="27" spans="2:13" ht="24.75" customHeight="1">
      <c r="B27" s="55"/>
      <c r="C27" s="56"/>
      <c r="D27" s="64" t="s">
        <v>42</v>
      </c>
      <c r="E27" s="136" t="s">
        <v>133</v>
      </c>
      <c r="F27" s="124"/>
      <c r="G27" s="124"/>
      <c r="H27" s="125"/>
      <c r="I27" s="12"/>
    </row>
    <row r="28" spans="2:13" ht="24.75" customHeight="1">
      <c r="B28" s="55"/>
      <c r="C28" s="56"/>
      <c r="D28" s="60" t="s">
        <v>139</v>
      </c>
      <c r="E28" s="135" t="s">
        <v>140</v>
      </c>
      <c r="F28" s="124"/>
      <c r="G28" s="124"/>
      <c r="H28" s="125"/>
      <c r="I28" s="12"/>
    </row>
    <row r="29" spans="2:13" ht="24.75" customHeight="1">
      <c r="B29" s="57"/>
      <c r="C29" s="56"/>
      <c r="D29" s="60" t="s">
        <v>43</v>
      </c>
      <c r="E29" s="126">
        <v>45981</v>
      </c>
      <c r="F29" s="124"/>
      <c r="G29" s="124"/>
      <c r="H29" s="125"/>
      <c r="I29" s="53"/>
    </row>
    <row r="30" spans="2:13" ht="24.75" customHeight="1">
      <c r="B30" s="57"/>
      <c r="C30" s="56"/>
      <c r="D30" s="65" t="s">
        <v>44</v>
      </c>
      <c r="E30" s="61"/>
      <c r="F30" s="67"/>
      <c r="G30" s="45"/>
      <c r="H30" s="104">
        <v>307462</v>
      </c>
      <c r="I30" s="73" t="s">
        <v>45</v>
      </c>
    </row>
    <row r="31" spans="2:13" ht="24.75" customHeight="1">
      <c r="B31" s="57"/>
      <c r="C31" s="56"/>
      <c r="D31" s="62" t="s">
        <v>46</v>
      </c>
      <c r="E31" s="68" t="s">
        <v>35</v>
      </c>
      <c r="F31" s="67"/>
      <c r="G31" s="45"/>
      <c r="H31" s="101">
        <f>H30</f>
        <v>307462</v>
      </c>
      <c r="I31" s="74" t="s">
        <v>40</v>
      </c>
    </row>
    <row r="32" spans="2:13" ht="24.75" customHeight="1">
      <c r="B32" s="57"/>
      <c r="C32" s="56"/>
      <c r="D32" s="62"/>
      <c r="E32" s="68" t="s">
        <v>36</v>
      </c>
      <c r="F32" s="67"/>
      <c r="G32" s="45"/>
      <c r="H32" s="102">
        <v>0</v>
      </c>
      <c r="I32" s="74" t="s">
        <v>40</v>
      </c>
    </row>
    <row r="33" spans="2:10" ht="24.75" customHeight="1">
      <c r="B33" s="57"/>
      <c r="C33" s="56"/>
      <c r="D33" s="62"/>
      <c r="E33" s="66" t="s">
        <v>37</v>
      </c>
      <c r="F33" s="69"/>
      <c r="G33" s="43"/>
      <c r="H33" s="103">
        <v>10000</v>
      </c>
      <c r="I33" s="74" t="s">
        <v>40</v>
      </c>
    </row>
    <row r="34" spans="2:10" ht="24">
      <c r="B34" s="57"/>
      <c r="C34" s="56"/>
      <c r="D34" s="42"/>
      <c r="E34" s="38"/>
      <c r="F34" s="38"/>
      <c r="G34" s="63" t="s">
        <v>47</v>
      </c>
      <c r="H34" s="96">
        <f>SUM(H31-H32+H33)</f>
        <v>317462</v>
      </c>
      <c r="I34" s="74" t="s">
        <v>40</v>
      </c>
    </row>
    <row r="35" spans="2:10" ht="24">
      <c r="B35" s="57"/>
      <c r="C35" s="56"/>
      <c r="D35" s="12"/>
      <c r="E35" s="12"/>
      <c r="F35" s="12"/>
      <c r="G35" s="12"/>
      <c r="H35" s="12"/>
      <c r="I35" s="53"/>
    </row>
    <row r="36" spans="2:10" ht="24">
      <c r="B36" s="57"/>
      <c r="C36" s="56"/>
      <c r="D36" s="12"/>
      <c r="E36" s="12"/>
      <c r="F36" s="12"/>
      <c r="G36" s="12"/>
      <c r="H36" s="12"/>
      <c r="I36" s="12"/>
    </row>
    <row r="37" spans="2:10" ht="24">
      <c r="B37" s="57"/>
      <c r="C37" s="56"/>
      <c r="D37" s="12"/>
      <c r="E37" s="12"/>
      <c r="F37" s="12"/>
      <c r="G37" s="12"/>
      <c r="H37" s="12"/>
      <c r="I37" s="12"/>
    </row>
    <row r="38" spans="2:10" ht="24">
      <c r="B38" s="57"/>
      <c r="C38" s="56"/>
      <c r="D38" s="12"/>
      <c r="E38" s="12"/>
      <c r="F38" s="12"/>
      <c r="G38" s="12"/>
      <c r="H38" s="12"/>
      <c r="I38" s="54"/>
    </row>
    <row r="39" spans="2:10" s="11" customFormat="1" ht="20.25" customHeight="1">
      <c r="B39" s="57"/>
      <c r="C39" s="58"/>
      <c r="D39" s="12"/>
      <c r="E39" s="12"/>
      <c r="F39" s="12"/>
      <c r="G39" s="12"/>
      <c r="H39" s="12"/>
      <c r="I39" s="12"/>
      <c r="J39" s="18"/>
    </row>
    <row r="40" spans="2:10" s="11" customFormat="1" ht="20.25" customHeight="1">
      <c r="B40" s="57"/>
      <c r="C40" s="58"/>
      <c r="D40" s="12"/>
      <c r="E40" s="12"/>
      <c r="F40" s="12"/>
      <c r="G40" s="12"/>
      <c r="H40" s="12"/>
      <c r="I40" s="12"/>
    </row>
    <row r="41" spans="2:10" s="11" customFormat="1" ht="20.25" customHeight="1">
      <c r="B41" s="57"/>
      <c r="C41" s="58"/>
      <c r="D41" s="12"/>
      <c r="E41" s="12"/>
      <c r="F41" s="12"/>
      <c r="G41" s="12"/>
      <c r="H41" s="12"/>
      <c r="I41" s="12"/>
    </row>
    <row r="42" spans="2:10" s="11" customFormat="1" ht="20.25" customHeight="1">
      <c r="B42" s="57"/>
      <c r="C42" s="58"/>
      <c r="D42" s="12"/>
      <c r="E42" s="12"/>
      <c r="F42" s="12"/>
      <c r="G42" s="12"/>
      <c r="H42" s="12"/>
      <c r="I42" s="12"/>
    </row>
    <row r="43" spans="2:10" ht="24">
      <c r="B43" s="1"/>
      <c r="C43" s="1"/>
      <c r="D43" s="1"/>
      <c r="E43" s="1"/>
      <c r="F43" s="1"/>
      <c r="G43" s="12"/>
      <c r="H43" s="1"/>
      <c r="I43" s="12"/>
    </row>
    <row r="44" spans="2:10" ht="24">
      <c r="B44" s="12"/>
      <c r="C44" s="12"/>
      <c r="D44" s="12"/>
      <c r="E44" s="12"/>
      <c r="F44" s="12"/>
      <c r="G44" s="12"/>
      <c r="H44" s="12"/>
      <c r="I44" s="41"/>
    </row>
    <row r="45" spans="2:10" ht="24">
      <c r="B45" s="12"/>
      <c r="C45" s="12"/>
      <c r="D45" s="12"/>
      <c r="E45" s="12"/>
      <c r="F45" s="39"/>
      <c r="G45" s="39"/>
      <c r="H45" s="40"/>
      <c r="I45" s="39"/>
    </row>
  </sheetData>
  <mergeCells count="9">
    <mergeCell ref="E27:H27"/>
    <mergeCell ref="E29:H29"/>
    <mergeCell ref="I2:J2"/>
    <mergeCell ref="B6:D6"/>
    <mergeCell ref="G15:G16"/>
    <mergeCell ref="H16:J16"/>
    <mergeCell ref="H17:J17"/>
    <mergeCell ref="B22:I23"/>
    <mergeCell ref="E28:H28"/>
  </mergeCells>
  <phoneticPr fontId="7"/>
  <dataValidations count="1">
    <dataValidation allowBlank="1" showInputMessage="1" showErrorMessage="1" sqref="H2" xr:uid="{BBDC4604-3584-B84D-BEB5-BC29ADF1C86A}"/>
  </dataValidations>
  <pageMargins left="0.7" right="0.7" top="0.75" bottom="0.75" header="0.3" footer="0.3"/>
  <pageSetup paperSize="9" scale="77"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881F2-619C-8A4C-A69D-F465A2BD92FB}">
  <sheetPr codeName="Sheet21">
    <tabColor theme="7"/>
    <pageSetUpPr fitToPage="1"/>
  </sheetPr>
  <dimension ref="B1:M45"/>
  <sheetViews>
    <sheetView topLeftCell="A13" zoomScaleNormal="100" workbookViewId="0">
      <selection activeCell="H32" sqref="H32"/>
    </sheetView>
  </sheetViews>
  <sheetFormatPr baseColWidth="10" defaultColWidth="8.83203125" defaultRowHeight="18"/>
  <cols>
    <col min="1" max="1" width="8.1640625" customWidth="1"/>
    <col min="2" max="2" width="4.33203125" customWidth="1"/>
    <col min="3" max="3" width="8.5" customWidth="1"/>
    <col min="4" max="4" width="17.1640625" customWidth="1"/>
    <col min="5" max="5" width="13.6640625" customWidth="1"/>
    <col min="6" max="6" width="17.1640625" customWidth="1"/>
    <col min="7" max="7" width="13.6640625" customWidth="1"/>
    <col min="8" max="8" width="17.1640625" customWidth="1"/>
    <col min="9" max="9" width="6.5" customWidth="1"/>
    <col min="10" max="10" width="6.6640625" customWidth="1"/>
    <col min="11" max="11" width="11.1640625" customWidth="1"/>
    <col min="12" max="12" width="6.6640625" customWidth="1"/>
    <col min="13" max="13" width="15.83203125" customWidth="1"/>
    <col min="14" max="14" width="17.6640625" customWidth="1"/>
    <col min="15" max="15" width="18.1640625" customWidth="1"/>
  </cols>
  <sheetData>
    <row r="1" spans="2:13">
      <c r="I1" s="10"/>
    </row>
    <row r="2" spans="2:13" ht="24">
      <c r="B2" s="1"/>
      <c r="G2" s="87"/>
      <c r="H2" s="88"/>
      <c r="I2" s="130"/>
      <c r="J2" s="130"/>
    </row>
    <row r="3" spans="2:13" ht="24" customHeight="1">
      <c r="B3" s="76"/>
      <c r="C3" s="76"/>
      <c r="D3" s="76"/>
      <c r="E3" s="76"/>
      <c r="G3" s="87"/>
      <c r="H3" s="88"/>
      <c r="I3" s="88"/>
    </row>
    <row r="4" spans="2:13" ht="18.75" customHeight="1">
      <c r="B4" s="76"/>
      <c r="C4" s="76"/>
      <c r="D4" s="76"/>
      <c r="E4" s="76"/>
    </row>
    <row r="5" spans="2:13" ht="24">
      <c r="B5" s="33"/>
      <c r="C5" s="33"/>
      <c r="D5" s="33"/>
    </row>
    <row r="6" spans="2:13" ht="45">
      <c r="B6" s="131"/>
      <c r="C6" s="131"/>
      <c r="D6" s="131"/>
      <c r="E6" s="1"/>
      <c r="F6" s="86" t="s">
        <v>137</v>
      </c>
    </row>
    <row r="7" spans="2:13" ht="24">
      <c r="B7" s="1" t="s">
        <v>20</v>
      </c>
      <c r="C7" s="12"/>
      <c r="D7" s="90">
        <v>3000000236</v>
      </c>
      <c r="E7" s="13"/>
    </row>
    <row r="8" spans="2:13" ht="24">
      <c r="B8" s="12" t="s">
        <v>21</v>
      </c>
      <c r="C8" s="12"/>
      <c r="D8" s="12" t="str">
        <f>受給者情報!C21</f>
        <v>森口　真紀子</v>
      </c>
      <c r="E8" t="s">
        <v>41</v>
      </c>
    </row>
    <row r="12" spans="2:13" ht="31">
      <c r="E12" s="52" t="s">
        <v>22</v>
      </c>
      <c r="F12" s="52"/>
      <c r="G12" s="52"/>
    </row>
    <row r="13" spans="2:13" ht="24">
      <c r="I13" s="14"/>
      <c r="M13" s="37"/>
    </row>
    <row r="14" spans="2:13">
      <c r="M14" s="37"/>
    </row>
    <row r="15" spans="2:13" ht="24" customHeight="1">
      <c r="G15" s="132" t="s">
        <v>23</v>
      </c>
      <c r="H15" s="49" t="s">
        <v>24</v>
      </c>
      <c r="I15" s="49"/>
      <c r="M15" s="37"/>
    </row>
    <row r="16" spans="2:13" ht="24" customHeight="1">
      <c r="G16" s="132"/>
      <c r="H16" s="133" t="s">
        <v>25</v>
      </c>
      <c r="I16" s="133"/>
      <c r="J16" s="133"/>
      <c r="M16" s="37"/>
    </row>
    <row r="17" spans="2:13" ht="40.5" customHeight="1">
      <c r="G17" s="50"/>
      <c r="H17" s="133" t="s">
        <v>27</v>
      </c>
      <c r="I17" s="133"/>
      <c r="J17" s="133"/>
      <c r="M17" s="37"/>
    </row>
    <row r="18" spans="2:13">
      <c r="G18" s="51" t="s">
        <v>28</v>
      </c>
      <c r="H18" s="51" t="str">
        <f>事業者情報!C5&amp;"　"&amp;事業者情報!C6</f>
        <v>代表取締役社長　澤田昌志</v>
      </c>
      <c r="M18" s="37"/>
    </row>
    <row r="19" spans="2:13">
      <c r="G19" s="51" t="s">
        <v>29</v>
      </c>
      <c r="H19" s="51" t="str">
        <f>事業者情報!C7&amp;""</f>
        <v>0566-63-6817</v>
      </c>
      <c r="M19" s="37"/>
    </row>
    <row r="20" spans="2:13">
      <c r="G20" s="51" t="s">
        <v>30</v>
      </c>
      <c r="H20" s="51" t="str">
        <f>事業者情報!C8&amp;""</f>
        <v>0566-63-6818</v>
      </c>
      <c r="M20" s="37"/>
    </row>
    <row r="21" spans="2:13">
      <c r="M21" s="37"/>
    </row>
    <row r="22" spans="2:13" ht="24" customHeight="1">
      <c r="B22" s="134" t="s">
        <v>135</v>
      </c>
      <c r="C22" s="134"/>
      <c r="D22" s="134"/>
      <c r="E22" s="134"/>
      <c r="F22" s="134"/>
      <c r="G22" s="134"/>
      <c r="H22" s="134"/>
      <c r="I22" s="134"/>
      <c r="M22" s="37"/>
    </row>
    <row r="23" spans="2:13" ht="24" customHeight="1">
      <c r="B23" s="134"/>
      <c r="C23" s="134"/>
      <c r="D23" s="134"/>
      <c r="E23" s="134"/>
      <c r="F23" s="134"/>
      <c r="G23" s="134"/>
      <c r="H23" s="134"/>
      <c r="I23" s="134"/>
      <c r="M23" s="37"/>
    </row>
    <row r="25" spans="2:13" ht="27">
      <c r="C25" s="98">
        <v>9</v>
      </c>
      <c r="D25" s="98" t="s">
        <v>173</v>
      </c>
      <c r="E25" s="71" t="s">
        <v>32</v>
      </c>
      <c r="F25" s="72">
        <f>H34</f>
        <v>289406</v>
      </c>
      <c r="G25" s="16" t="s">
        <v>33</v>
      </c>
    </row>
    <row r="27" spans="2:13" ht="24.75" customHeight="1">
      <c r="B27" s="55"/>
      <c r="C27" s="56"/>
      <c r="D27" s="64" t="s">
        <v>42</v>
      </c>
      <c r="E27" s="136" t="s">
        <v>157</v>
      </c>
      <c r="F27" s="124"/>
      <c r="G27" s="124"/>
      <c r="H27" s="125"/>
      <c r="I27" s="12"/>
    </row>
    <row r="28" spans="2:13" ht="24.75" customHeight="1">
      <c r="B28" s="55"/>
      <c r="C28" s="56"/>
      <c r="D28" s="60" t="s">
        <v>139</v>
      </c>
      <c r="E28" s="135" t="s">
        <v>140</v>
      </c>
      <c r="F28" s="124"/>
      <c r="G28" s="124"/>
      <c r="H28" s="125"/>
      <c r="I28" s="12"/>
    </row>
    <row r="29" spans="2:13" ht="24.75" customHeight="1">
      <c r="B29" s="57"/>
      <c r="C29" s="56"/>
      <c r="D29" s="60" t="s">
        <v>43</v>
      </c>
      <c r="E29" s="153" t="s">
        <v>174</v>
      </c>
      <c r="F29" s="124"/>
      <c r="G29" s="124"/>
      <c r="H29" s="125"/>
      <c r="I29" s="53"/>
    </row>
    <row r="30" spans="2:13" ht="24.75" customHeight="1">
      <c r="B30" s="57"/>
      <c r="C30" s="56"/>
      <c r="D30" s="65" t="s">
        <v>44</v>
      </c>
      <c r="E30" s="61"/>
      <c r="F30" s="67"/>
      <c r="G30" s="45"/>
      <c r="H30" s="104">
        <v>279406</v>
      </c>
      <c r="I30" s="73" t="s">
        <v>45</v>
      </c>
    </row>
    <row r="31" spans="2:13" ht="24.75" customHeight="1">
      <c r="B31" s="57"/>
      <c r="C31" s="56"/>
      <c r="D31" s="62" t="s">
        <v>46</v>
      </c>
      <c r="E31" s="68" t="s">
        <v>35</v>
      </c>
      <c r="F31" s="67"/>
      <c r="G31" s="45"/>
      <c r="H31" s="101">
        <f>H30</f>
        <v>279406</v>
      </c>
      <c r="I31" s="74" t="s">
        <v>40</v>
      </c>
    </row>
    <row r="32" spans="2:13" ht="24.75" customHeight="1">
      <c r="B32" s="57"/>
      <c r="C32" s="56"/>
      <c r="D32" s="62"/>
      <c r="E32" s="68" t="s">
        <v>36</v>
      </c>
      <c r="F32" s="67"/>
      <c r="G32" s="45"/>
      <c r="H32" s="102">
        <v>0</v>
      </c>
      <c r="I32" s="74" t="s">
        <v>40</v>
      </c>
    </row>
    <row r="33" spans="2:10" ht="24.75" customHeight="1">
      <c r="B33" s="57"/>
      <c r="C33" s="56"/>
      <c r="D33" s="62"/>
      <c r="E33" s="66" t="s">
        <v>37</v>
      </c>
      <c r="F33" s="69"/>
      <c r="G33" s="43"/>
      <c r="H33" s="103">
        <v>10000</v>
      </c>
      <c r="I33" s="74" t="s">
        <v>40</v>
      </c>
    </row>
    <row r="34" spans="2:10" ht="24">
      <c r="B34" s="57"/>
      <c r="C34" s="56"/>
      <c r="D34" s="42"/>
      <c r="E34" s="38"/>
      <c r="F34" s="38"/>
      <c r="G34" s="63" t="s">
        <v>47</v>
      </c>
      <c r="H34" s="96">
        <f>SUM(H31-H32+H33)</f>
        <v>289406</v>
      </c>
      <c r="I34" s="74" t="s">
        <v>40</v>
      </c>
    </row>
    <row r="35" spans="2:10" ht="24">
      <c r="B35" s="57"/>
      <c r="C35" s="56"/>
      <c r="D35" s="12"/>
      <c r="E35" s="12"/>
      <c r="F35" s="12"/>
      <c r="G35" s="12"/>
      <c r="H35" s="105"/>
      <c r="I35" s="53"/>
    </row>
    <row r="36" spans="2:10" ht="24">
      <c r="B36" s="57"/>
      <c r="C36" s="56"/>
      <c r="D36" s="12"/>
      <c r="E36" s="12"/>
      <c r="F36" s="12"/>
      <c r="G36" s="12"/>
      <c r="H36" s="105"/>
      <c r="I36" s="12"/>
    </row>
    <row r="37" spans="2:10" ht="24">
      <c r="B37" s="57"/>
      <c r="C37" s="56"/>
      <c r="D37" s="12"/>
      <c r="E37" s="12"/>
      <c r="F37" s="12"/>
      <c r="G37" s="12"/>
      <c r="H37" s="12"/>
      <c r="I37" s="12"/>
    </row>
    <row r="38" spans="2:10" ht="24">
      <c r="B38" s="57"/>
      <c r="C38" s="56"/>
      <c r="D38" s="12"/>
      <c r="E38" s="12"/>
      <c r="F38" s="12"/>
      <c r="G38" s="12"/>
      <c r="H38" s="12"/>
      <c r="I38" s="54"/>
    </row>
    <row r="39" spans="2:10" s="11" customFormat="1" ht="20.25" customHeight="1">
      <c r="B39" s="57"/>
      <c r="C39" s="58"/>
      <c r="D39" s="12"/>
      <c r="E39" s="12"/>
      <c r="F39" s="12"/>
      <c r="G39" s="12"/>
      <c r="H39" s="12"/>
      <c r="I39" s="12"/>
      <c r="J39" s="18"/>
    </row>
    <row r="40" spans="2:10" s="11" customFormat="1" ht="20.25" customHeight="1">
      <c r="B40" s="57"/>
      <c r="C40" s="58"/>
      <c r="D40" s="12"/>
      <c r="E40" s="12"/>
      <c r="F40" s="12"/>
      <c r="G40" s="12"/>
      <c r="H40" s="12"/>
      <c r="I40" s="12"/>
    </row>
    <row r="41" spans="2:10" s="11" customFormat="1" ht="20.25" customHeight="1">
      <c r="B41" s="57"/>
      <c r="C41" s="58"/>
      <c r="D41" s="12"/>
      <c r="E41" s="12"/>
      <c r="F41" s="12"/>
      <c r="G41" s="12"/>
      <c r="H41" s="12"/>
      <c r="I41" s="12"/>
    </row>
    <row r="42" spans="2:10" s="11" customFormat="1" ht="20.25" customHeight="1">
      <c r="B42" s="57"/>
      <c r="C42" s="58"/>
      <c r="D42" s="12"/>
      <c r="E42" s="12"/>
      <c r="F42" s="12"/>
      <c r="G42" s="12"/>
      <c r="H42" s="12"/>
      <c r="I42" s="12"/>
    </row>
    <row r="43" spans="2:10" ht="24">
      <c r="B43" s="1"/>
      <c r="C43" s="1"/>
      <c r="D43" s="1"/>
      <c r="E43" s="1"/>
      <c r="F43" s="1"/>
      <c r="G43" s="12"/>
      <c r="H43" s="1"/>
      <c r="I43" s="12"/>
    </row>
    <row r="44" spans="2:10" ht="24">
      <c r="B44" s="12"/>
      <c r="C44" s="12"/>
      <c r="D44" s="12"/>
      <c r="E44" s="12"/>
      <c r="F44" s="12"/>
      <c r="G44" s="12"/>
      <c r="H44" s="12"/>
      <c r="I44" s="41"/>
    </row>
    <row r="45" spans="2:10" ht="24">
      <c r="B45" s="12"/>
      <c r="C45" s="12"/>
      <c r="D45" s="12"/>
      <c r="E45" s="12"/>
      <c r="F45" s="39"/>
      <c r="G45" s="39"/>
      <c r="H45" s="40"/>
      <c r="I45" s="39"/>
    </row>
  </sheetData>
  <mergeCells count="9">
    <mergeCell ref="E27:H27"/>
    <mergeCell ref="E29:H29"/>
    <mergeCell ref="I2:J2"/>
    <mergeCell ref="B6:D6"/>
    <mergeCell ref="G15:G16"/>
    <mergeCell ref="H16:J16"/>
    <mergeCell ref="H17:J17"/>
    <mergeCell ref="B22:I23"/>
    <mergeCell ref="E28:H28"/>
  </mergeCells>
  <phoneticPr fontId="7"/>
  <dataValidations count="1">
    <dataValidation allowBlank="1" showInputMessage="1" showErrorMessage="1" sqref="H2" xr:uid="{1B85D858-A775-5D45-8A6E-A50132A1D581}"/>
  </dataValidations>
  <pageMargins left="0.7" right="0.7" top="0.75" bottom="0.75" header="0.3" footer="0.3"/>
  <pageSetup paperSize="9" scale="77"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2">
    <tabColor theme="7"/>
    <pageSetUpPr fitToPage="1"/>
  </sheetPr>
  <dimension ref="B1:M45"/>
  <sheetViews>
    <sheetView topLeftCell="A12" zoomScaleNormal="100" workbookViewId="0">
      <selection activeCell="E29" sqref="E29:H29"/>
    </sheetView>
  </sheetViews>
  <sheetFormatPr baseColWidth="10" defaultColWidth="8.83203125" defaultRowHeight="18"/>
  <cols>
    <col min="1" max="1" width="8.1640625" customWidth="1"/>
    <col min="2" max="2" width="4.33203125" customWidth="1"/>
    <col min="3" max="3" width="8.5" customWidth="1"/>
    <col min="4" max="4" width="17.1640625" customWidth="1"/>
    <col min="5" max="5" width="13.6640625" customWidth="1"/>
    <col min="6" max="6" width="17.1640625" customWidth="1"/>
    <col min="7" max="7" width="13.6640625" customWidth="1"/>
    <col min="8" max="8" width="17.1640625" customWidth="1"/>
    <col min="9" max="9" width="6.5" customWidth="1"/>
    <col min="10" max="10" width="6.6640625" customWidth="1"/>
    <col min="11" max="11" width="11.1640625" customWidth="1"/>
    <col min="12" max="12" width="6.6640625" customWidth="1"/>
    <col min="13" max="13" width="15.83203125" customWidth="1"/>
    <col min="14" max="14" width="17.6640625" customWidth="1"/>
    <col min="15" max="15" width="18.1640625" customWidth="1"/>
  </cols>
  <sheetData>
    <row r="1" spans="2:13">
      <c r="I1" s="10"/>
    </row>
    <row r="2" spans="2:13" ht="24">
      <c r="B2" s="1"/>
      <c r="G2" s="87"/>
      <c r="H2" s="88"/>
      <c r="I2" s="130"/>
      <c r="J2" s="130"/>
    </row>
    <row r="3" spans="2:13" ht="24" customHeight="1">
      <c r="B3" s="76"/>
      <c r="C3" s="76"/>
      <c r="D3" s="76"/>
      <c r="E3" s="76"/>
      <c r="G3" s="87"/>
      <c r="H3" s="88"/>
      <c r="I3" s="88"/>
    </row>
    <row r="4" spans="2:13" ht="18.75" customHeight="1">
      <c r="B4" s="76"/>
      <c r="C4" s="76"/>
      <c r="D4" s="76"/>
      <c r="E4" s="76"/>
    </row>
    <row r="5" spans="2:13" ht="24">
      <c r="B5" s="33"/>
      <c r="C5" s="33"/>
      <c r="D5" s="33"/>
    </row>
    <row r="6" spans="2:13" ht="45">
      <c r="B6" s="131"/>
      <c r="C6" s="131"/>
      <c r="D6" s="131"/>
      <c r="E6" s="1"/>
      <c r="F6" s="86" t="s">
        <v>137</v>
      </c>
    </row>
    <row r="7" spans="2:13" ht="24">
      <c r="B7" s="1" t="s">
        <v>20</v>
      </c>
      <c r="C7" s="12"/>
      <c r="D7" s="90">
        <v>3000004972</v>
      </c>
      <c r="E7" s="13"/>
    </row>
    <row r="8" spans="2:13" ht="24">
      <c r="B8" s="12" t="s">
        <v>21</v>
      </c>
      <c r="C8" s="12"/>
      <c r="D8" s="12" t="str">
        <f>受給者情報!C22</f>
        <v>長尾　夏江</v>
      </c>
      <c r="E8" t="s">
        <v>41</v>
      </c>
    </row>
    <row r="12" spans="2:13" ht="31">
      <c r="E12" s="52" t="s">
        <v>22</v>
      </c>
      <c r="F12" s="52"/>
      <c r="G12" s="52"/>
    </row>
    <row r="13" spans="2:13" ht="24">
      <c r="I13" s="14"/>
      <c r="M13" s="37"/>
    </row>
    <row r="14" spans="2:13">
      <c r="M14" s="37"/>
    </row>
    <row r="15" spans="2:13" ht="24" customHeight="1">
      <c r="G15" s="132" t="s">
        <v>23</v>
      </c>
      <c r="H15" s="49" t="s">
        <v>24</v>
      </c>
      <c r="I15" s="49"/>
      <c r="M15" s="37"/>
    </row>
    <row r="16" spans="2:13" ht="24" customHeight="1">
      <c r="G16" s="132"/>
      <c r="H16" s="133" t="s">
        <v>25</v>
      </c>
      <c r="I16" s="133"/>
      <c r="J16" s="133"/>
      <c r="M16" s="37"/>
    </row>
    <row r="17" spans="2:13" ht="40.5" customHeight="1">
      <c r="G17" s="50"/>
      <c r="H17" s="133" t="s">
        <v>27</v>
      </c>
      <c r="I17" s="133"/>
      <c r="J17" s="133"/>
      <c r="M17" s="37"/>
    </row>
    <row r="18" spans="2:13">
      <c r="G18" s="51" t="s">
        <v>28</v>
      </c>
      <c r="H18" s="51" t="str">
        <f>事業者情報!C5&amp;"　"&amp;事業者情報!C6</f>
        <v>代表取締役社長　澤田昌志</v>
      </c>
      <c r="M18" s="37"/>
    </row>
    <row r="19" spans="2:13">
      <c r="G19" s="51" t="s">
        <v>29</v>
      </c>
      <c r="H19" s="51" t="str">
        <f>事業者情報!C7&amp;""</f>
        <v>0566-63-6817</v>
      </c>
      <c r="M19" s="37"/>
    </row>
    <row r="20" spans="2:13">
      <c r="G20" s="51" t="s">
        <v>30</v>
      </c>
      <c r="H20" s="51" t="str">
        <f>事業者情報!C8&amp;""</f>
        <v>0566-63-6818</v>
      </c>
      <c r="M20" s="37"/>
    </row>
    <row r="21" spans="2:13">
      <c r="M21" s="37"/>
    </row>
    <row r="22" spans="2:13" ht="24" customHeight="1">
      <c r="B22" s="134" t="s">
        <v>135</v>
      </c>
      <c r="C22" s="134"/>
      <c r="D22" s="134"/>
      <c r="E22" s="134"/>
      <c r="F22" s="134"/>
      <c r="G22" s="134"/>
      <c r="H22" s="134"/>
      <c r="I22" s="134"/>
      <c r="M22" s="37"/>
    </row>
    <row r="23" spans="2:13" ht="24" customHeight="1">
      <c r="B23" s="134"/>
      <c r="C23" s="134"/>
      <c r="D23" s="134"/>
      <c r="E23" s="134"/>
      <c r="F23" s="134"/>
      <c r="G23" s="134"/>
      <c r="H23" s="134"/>
      <c r="I23" s="134"/>
      <c r="M23" s="37"/>
    </row>
    <row r="25" spans="2:13" ht="27">
      <c r="C25" s="98">
        <v>9</v>
      </c>
      <c r="D25" s="98" t="s">
        <v>173</v>
      </c>
      <c r="E25" s="71" t="s">
        <v>32</v>
      </c>
      <c r="F25" s="72">
        <f>H34</f>
        <v>363516</v>
      </c>
      <c r="G25" s="16" t="s">
        <v>33</v>
      </c>
    </row>
    <row r="27" spans="2:13" ht="24.75" customHeight="1">
      <c r="B27" s="55"/>
      <c r="C27" s="56"/>
      <c r="D27" s="64" t="s">
        <v>42</v>
      </c>
      <c r="E27" s="136" t="s">
        <v>157</v>
      </c>
      <c r="F27" s="124"/>
      <c r="G27" s="124"/>
      <c r="H27" s="125"/>
      <c r="I27" s="12"/>
    </row>
    <row r="28" spans="2:13" ht="24.75" customHeight="1">
      <c r="B28" s="55"/>
      <c r="C28" s="56"/>
      <c r="D28" s="60" t="s">
        <v>139</v>
      </c>
      <c r="E28" s="135" t="s">
        <v>140</v>
      </c>
      <c r="F28" s="124"/>
      <c r="G28" s="124"/>
      <c r="H28" s="125"/>
      <c r="I28" s="12"/>
    </row>
    <row r="29" spans="2:13" ht="24.75" customHeight="1">
      <c r="B29" s="57"/>
      <c r="C29" s="56"/>
      <c r="D29" s="60" t="s">
        <v>43</v>
      </c>
      <c r="E29" s="126">
        <v>45981</v>
      </c>
      <c r="F29" s="124"/>
      <c r="G29" s="124"/>
      <c r="H29" s="125"/>
      <c r="I29" s="53"/>
    </row>
    <row r="30" spans="2:13" ht="24.75" customHeight="1">
      <c r="B30" s="57"/>
      <c r="C30" s="56"/>
      <c r="D30" s="65" t="s">
        <v>44</v>
      </c>
      <c r="E30" s="61"/>
      <c r="F30" s="67"/>
      <c r="G30" s="45"/>
      <c r="H30" s="104">
        <v>353516</v>
      </c>
      <c r="I30" s="73" t="s">
        <v>45</v>
      </c>
    </row>
    <row r="31" spans="2:13" ht="24.75" customHeight="1">
      <c r="B31" s="57"/>
      <c r="C31" s="56"/>
      <c r="D31" s="62" t="s">
        <v>46</v>
      </c>
      <c r="E31" s="68" t="s">
        <v>35</v>
      </c>
      <c r="F31" s="67"/>
      <c r="G31" s="45"/>
      <c r="H31" s="101">
        <f>H30</f>
        <v>353516</v>
      </c>
      <c r="I31" s="74" t="s">
        <v>40</v>
      </c>
    </row>
    <row r="32" spans="2:13" ht="24.75" customHeight="1">
      <c r="B32" s="57"/>
      <c r="C32" s="56"/>
      <c r="D32" s="62"/>
      <c r="E32" s="68" t="s">
        <v>36</v>
      </c>
      <c r="F32" s="67"/>
      <c r="G32" s="45"/>
      <c r="H32" s="102">
        <v>0</v>
      </c>
      <c r="I32" s="74" t="s">
        <v>40</v>
      </c>
    </row>
    <row r="33" spans="2:10" ht="24.75" customHeight="1">
      <c r="B33" s="57"/>
      <c r="C33" s="56"/>
      <c r="D33" s="62"/>
      <c r="E33" s="66" t="s">
        <v>37</v>
      </c>
      <c r="F33" s="69"/>
      <c r="G33" s="43"/>
      <c r="H33" s="103">
        <v>10000</v>
      </c>
      <c r="I33" s="74" t="s">
        <v>40</v>
      </c>
    </row>
    <row r="34" spans="2:10" ht="24">
      <c r="B34" s="57"/>
      <c r="C34" s="56"/>
      <c r="D34" s="42"/>
      <c r="E34" s="38"/>
      <c r="F34" s="38"/>
      <c r="G34" s="63" t="s">
        <v>47</v>
      </c>
      <c r="H34" s="96">
        <f>SUM(H31-H32+H33)</f>
        <v>363516</v>
      </c>
      <c r="I34" s="74" t="s">
        <v>40</v>
      </c>
    </row>
    <row r="35" spans="2:10" ht="24">
      <c r="B35" s="57"/>
      <c r="C35" s="56"/>
      <c r="D35" s="12"/>
      <c r="E35" s="12"/>
      <c r="F35" s="12"/>
      <c r="G35" s="12"/>
      <c r="H35" s="105"/>
      <c r="I35" s="53"/>
    </row>
    <row r="36" spans="2:10" ht="24">
      <c r="B36" s="57"/>
      <c r="C36" s="56"/>
      <c r="D36" s="12"/>
      <c r="E36" s="12"/>
      <c r="F36" s="12"/>
      <c r="G36" s="12"/>
      <c r="H36" s="105"/>
      <c r="I36" s="12"/>
    </row>
    <row r="37" spans="2:10" ht="24">
      <c r="B37" s="57"/>
      <c r="C37" s="56"/>
      <c r="D37" s="12"/>
      <c r="E37" s="12"/>
      <c r="F37" s="12"/>
      <c r="G37" s="12"/>
      <c r="H37" s="12"/>
      <c r="I37" s="12"/>
    </row>
    <row r="38" spans="2:10" ht="24">
      <c r="B38" s="57"/>
      <c r="C38" s="56"/>
      <c r="D38" s="12"/>
      <c r="E38" s="12"/>
      <c r="F38" s="12"/>
      <c r="G38" s="12"/>
      <c r="H38" s="12"/>
      <c r="I38" s="54"/>
    </row>
    <row r="39" spans="2:10" s="11" customFormat="1" ht="20.25" customHeight="1">
      <c r="B39" s="57"/>
      <c r="C39" s="58"/>
      <c r="D39" s="12"/>
      <c r="E39" s="12"/>
      <c r="F39" s="12"/>
      <c r="G39" s="12"/>
      <c r="H39" s="12"/>
      <c r="I39" s="12"/>
      <c r="J39" s="18"/>
    </row>
    <row r="40" spans="2:10" s="11" customFormat="1" ht="20.25" customHeight="1">
      <c r="B40" s="57"/>
      <c r="C40" s="58"/>
      <c r="D40" s="12"/>
      <c r="E40" s="12"/>
      <c r="F40" s="12"/>
      <c r="G40" s="12"/>
      <c r="H40" s="12"/>
      <c r="I40" s="12"/>
    </row>
    <row r="41" spans="2:10" s="11" customFormat="1" ht="20.25" customHeight="1">
      <c r="B41" s="57"/>
      <c r="C41" s="58"/>
      <c r="D41" s="12"/>
      <c r="E41" s="12"/>
      <c r="F41" s="12"/>
      <c r="G41" s="12"/>
      <c r="H41" s="12"/>
      <c r="I41" s="12"/>
    </row>
    <row r="42" spans="2:10" s="11" customFormat="1" ht="20.25" customHeight="1">
      <c r="B42" s="57"/>
      <c r="C42" s="58"/>
      <c r="D42" s="12"/>
      <c r="E42" s="12"/>
      <c r="F42" s="12"/>
      <c r="G42" s="12"/>
      <c r="H42" s="12"/>
      <c r="I42" s="12"/>
    </row>
    <row r="43" spans="2:10" ht="24">
      <c r="B43" s="1"/>
      <c r="C43" s="1"/>
      <c r="D43" s="1"/>
      <c r="E43" s="1"/>
      <c r="F43" s="1"/>
      <c r="G43" s="12"/>
      <c r="H43" s="1"/>
      <c r="I43" s="12"/>
    </row>
    <row r="44" spans="2:10" ht="24">
      <c r="B44" s="12"/>
      <c r="C44" s="12"/>
      <c r="D44" s="12"/>
      <c r="E44" s="12"/>
      <c r="F44" s="12"/>
      <c r="G44" s="12"/>
      <c r="H44" s="12"/>
      <c r="I44" s="41"/>
    </row>
    <row r="45" spans="2:10" ht="24">
      <c r="B45" s="12"/>
      <c r="C45" s="12"/>
      <c r="D45" s="12"/>
      <c r="E45" s="12"/>
      <c r="F45" s="39"/>
      <c r="G45" s="39"/>
      <c r="H45" s="40"/>
      <c r="I45" s="39"/>
    </row>
  </sheetData>
  <mergeCells count="9">
    <mergeCell ref="I2:J2"/>
    <mergeCell ref="E27:H27"/>
    <mergeCell ref="E29:H29"/>
    <mergeCell ref="B22:I23"/>
    <mergeCell ref="H16:J16"/>
    <mergeCell ref="H17:J17"/>
    <mergeCell ref="B6:D6"/>
    <mergeCell ref="G15:G16"/>
    <mergeCell ref="E28:H28"/>
  </mergeCells>
  <phoneticPr fontId="7"/>
  <dataValidations count="1">
    <dataValidation allowBlank="1" showInputMessage="1" showErrorMessage="1" sqref="H2" xr:uid="{1F21BDD3-BDF8-42ED-BC60-A4B645EBD0F3}"/>
  </dataValidations>
  <pageMargins left="0.7" right="0.7" top="0.75" bottom="0.75" header="0.3" footer="0.3"/>
  <pageSetup paperSize="9" scale="77"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05D38-86DF-FD42-9E63-A31A9984237A}">
  <sheetPr codeName="Sheet23">
    <tabColor theme="7"/>
    <pageSetUpPr fitToPage="1"/>
  </sheetPr>
  <dimension ref="B1:M45"/>
  <sheetViews>
    <sheetView topLeftCell="A16" zoomScaleNormal="100" workbookViewId="0">
      <selection activeCell="K32" sqref="K32"/>
    </sheetView>
  </sheetViews>
  <sheetFormatPr baseColWidth="10" defaultColWidth="8.83203125" defaultRowHeight="18"/>
  <cols>
    <col min="1" max="1" width="8.1640625" customWidth="1"/>
    <col min="2" max="2" width="4.33203125" customWidth="1"/>
    <col min="3" max="3" width="8.5" customWidth="1"/>
    <col min="4" max="4" width="17.1640625" customWidth="1"/>
    <col min="5" max="5" width="13.6640625" customWidth="1"/>
    <col min="6" max="6" width="17.1640625" customWidth="1"/>
    <col min="7" max="7" width="13.6640625" customWidth="1"/>
    <col min="8" max="8" width="17.1640625" customWidth="1"/>
    <col min="9" max="9" width="6.5" customWidth="1"/>
    <col min="10" max="10" width="6.6640625" customWidth="1"/>
    <col min="11" max="11" width="11.1640625" customWidth="1"/>
    <col min="12" max="12" width="6.6640625" customWidth="1"/>
    <col min="13" max="13" width="15.83203125" customWidth="1"/>
    <col min="14" max="14" width="17.6640625" customWidth="1"/>
    <col min="15" max="15" width="18.1640625" customWidth="1"/>
  </cols>
  <sheetData>
    <row r="1" spans="2:13">
      <c r="I1" s="10"/>
    </row>
    <row r="2" spans="2:13" ht="24">
      <c r="B2" s="1"/>
      <c r="G2" s="87"/>
      <c r="H2" s="88"/>
      <c r="I2" s="130"/>
      <c r="J2" s="130"/>
    </row>
    <row r="3" spans="2:13" ht="24" customHeight="1">
      <c r="B3" s="76"/>
      <c r="C3" s="76"/>
      <c r="D3" s="76"/>
      <c r="E3" s="76"/>
      <c r="G3" s="87"/>
      <c r="H3" s="88"/>
      <c r="I3" s="88"/>
    </row>
    <row r="4" spans="2:13" ht="18.75" customHeight="1">
      <c r="B4" s="76"/>
      <c r="C4" s="76"/>
      <c r="D4" s="76"/>
      <c r="E4" s="76"/>
    </row>
    <row r="5" spans="2:13" ht="24">
      <c r="B5" s="33"/>
      <c r="C5" s="33"/>
      <c r="D5" s="33"/>
    </row>
    <row r="6" spans="2:13" ht="45">
      <c r="B6" s="131"/>
      <c r="C6" s="131"/>
      <c r="D6" s="131"/>
      <c r="E6" s="1"/>
      <c r="F6" s="86" t="s">
        <v>137</v>
      </c>
    </row>
    <row r="7" spans="2:13" ht="24">
      <c r="B7" s="1" t="s">
        <v>20</v>
      </c>
      <c r="C7" s="12"/>
      <c r="D7" s="90">
        <v>3000019079</v>
      </c>
      <c r="E7" s="13"/>
    </row>
    <row r="8" spans="2:13" ht="24">
      <c r="B8" s="12" t="s">
        <v>21</v>
      </c>
      <c r="C8" s="12"/>
      <c r="D8" s="12" t="str">
        <f>受給者情報!C23</f>
        <v>福田　奈央　</v>
      </c>
      <c r="E8" t="s">
        <v>41</v>
      </c>
    </row>
    <row r="12" spans="2:13" ht="31">
      <c r="E12" s="52" t="s">
        <v>22</v>
      </c>
      <c r="F12" s="52"/>
      <c r="G12" s="52"/>
    </row>
    <row r="13" spans="2:13" ht="24">
      <c r="I13" s="14"/>
      <c r="M13" s="37"/>
    </row>
    <row r="14" spans="2:13">
      <c r="M14" s="37"/>
    </row>
    <row r="15" spans="2:13" ht="24" customHeight="1">
      <c r="G15" s="132" t="s">
        <v>23</v>
      </c>
      <c r="H15" s="49" t="s">
        <v>24</v>
      </c>
      <c r="I15" s="49"/>
      <c r="M15" s="37"/>
    </row>
    <row r="16" spans="2:13" ht="24" customHeight="1">
      <c r="G16" s="132"/>
      <c r="H16" s="133" t="s">
        <v>25</v>
      </c>
      <c r="I16" s="133"/>
      <c r="J16" s="133"/>
      <c r="M16" s="37"/>
    </row>
    <row r="17" spans="2:13" ht="40.5" customHeight="1">
      <c r="G17" s="50"/>
      <c r="H17" s="133" t="s">
        <v>27</v>
      </c>
      <c r="I17" s="133"/>
      <c r="J17" s="133"/>
      <c r="M17" s="37"/>
    </row>
    <row r="18" spans="2:13">
      <c r="G18" s="51" t="s">
        <v>28</v>
      </c>
      <c r="H18" s="51" t="str">
        <f>事業者情報!C5&amp;"　"&amp;事業者情報!C6</f>
        <v>代表取締役社長　澤田昌志</v>
      </c>
      <c r="M18" s="37"/>
    </row>
    <row r="19" spans="2:13">
      <c r="G19" s="51" t="s">
        <v>29</v>
      </c>
      <c r="H19" s="51" t="str">
        <f>事業者情報!C7&amp;""</f>
        <v>0566-63-6817</v>
      </c>
      <c r="M19" s="37"/>
    </row>
    <row r="20" spans="2:13">
      <c r="G20" s="51" t="s">
        <v>30</v>
      </c>
      <c r="H20" s="51" t="str">
        <f>事業者情報!C8&amp;""</f>
        <v>0566-63-6818</v>
      </c>
      <c r="M20" s="37"/>
    </row>
    <row r="21" spans="2:13">
      <c r="M21" s="37"/>
    </row>
    <row r="22" spans="2:13" ht="24" customHeight="1">
      <c r="B22" s="134" t="s">
        <v>135</v>
      </c>
      <c r="C22" s="134"/>
      <c r="D22" s="134"/>
      <c r="E22" s="134"/>
      <c r="F22" s="134"/>
      <c r="G22" s="134"/>
      <c r="H22" s="134"/>
      <c r="I22" s="134"/>
      <c r="M22" s="37"/>
    </row>
    <row r="23" spans="2:13" ht="24" customHeight="1">
      <c r="B23" s="134"/>
      <c r="C23" s="134"/>
      <c r="D23" s="134"/>
      <c r="E23" s="134"/>
      <c r="F23" s="134"/>
      <c r="G23" s="134"/>
      <c r="H23" s="134"/>
      <c r="I23" s="134"/>
      <c r="M23" s="37"/>
    </row>
    <row r="25" spans="2:13" ht="27">
      <c r="C25" s="98">
        <v>9</v>
      </c>
      <c r="D25" s="98" t="s">
        <v>173</v>
      </c>
      <c r="E25" s="71" t="s">
        <v>32</v>
      </c>
      <c r="F25" s="72">
        <f>H34</f>
        <v>115506</v>
      </c>
      <c r="G25" s="16" t="s">
        <v>33</v>
      </c>
    </row>
    <row r="27" spans="2:13" ht="24.75" customHeight="1">
      <c r="B27" s="55"/>
      <c r="C27" s="56"/>
      <c r="D27" s="64" t="s">
        <v>42</v>
      </c>
      <c r="E27" s="136" t="s">
        <v>133</v>
      </c>
      <c r="F27" s="124"/>
      <c r="G27" s="124"/>
      <c r="H27" s="125"/>
      <c r="I27" s="12"/>
    </row>
    <row r="28" spans="2:13" ht="24.75" customHeight="1">
      <c r="B28" s="55"/>
      <c r="C28" s="56"/>
      <c r="D28" s="60" t="s">
        <v>139</v>
      </c>
      <c r="E28" s="135" t="s">
        <v>140</v>
      </c>
      <c r="F28" s="124"/>
      <c r="G28" s="124"/>
      <c r="H28" s="125"/>
      <c r="I28" s="12"/>
    </row>
    <row r="29" spans="2:13" ht="24.75" customHeight="1">
      <c r="B29" s="57"/>
      <c r="C29" s="56"/>
      <c r="D29" s="60" t="s">
        <v>43</v>
      </c>
      <c r="E29" s="126">
        <v>45981</v>
      </c>
      <c r="F29" s="124"/>
      <c r="G29" s="124"/>
      <c r="H29" s="125"/>
      <c r="I29" s="53"/>
    </row>
    <row r="30" spans="2:13" ht="24.75" customHeight="1">
      <c r="B30" s="57"/>
      <c r="C30" s="56"/>
      <c r="D30" s="65" t="s">
        <v>44</v>
      </c>
      <c r="E30" s="106"/>
      <c r="F30" s="107"/>
      <c r="G30" s="102"/>
      <c r="H30" s="104">
        <v>128340</v>
      </c>
      <c r="I30" s="73" t="s">
        <v>45</v>
      </c>
    </row>
    <row r="31" spans="2:13" ht="24.75" customHeight="1">
      <c r="B31" s="57"/>
      <c r="C31" s="56"/>
      <c r="D31" s="62" t="s">
        <v>46</v>
      </c>
      <c r="E31" s="108" t="s">
        <v>35</v>
      </c>
      <c r="F31" s="107"/>
      <c r="G31" s="102"/>
      <c r="H31" s="101">
        <f>H30</f>
        <v>128340</v>
      </c>
      <c r="I31" s="74" t="s">
        <v>40</v>
      </c>
    </row>
    <row r="32" spans="2:13" ht="24.75" customHeight="1">
      <c r="B32" s="57"/>
      <c r="C32" s="56"/>
      <c r="D32" s="62"/>
      <c r="E32" s="108" t="s">
        <v>36</v>
      </c>
      <c r="F32" s="107"/>
      <c r="G32" s="102"/>
      <c r="H32" s="114">
        <v>12834</v>
      </c>
      <c r="I32" s="74" t="s">
        <v>40</v>
      </c>
    </row>
    <row r="33" spans="2:10" ht="24.75" customHeight="1">
      <c r="B33" s="57"/>
      <c r="C33" s="56"/>
      <c r="D33" s="62"/>
      <c r="E33" s="109" t="s">
        <v>37</v>
      </c>
      <c r="F33" s="110"/>
      <c r="G33" s="111"/>
      <c r="H33" s="103">
        <v>0</v>
      </c>
      <c r="I33" s="74" t="s">
        <v>40</v>
      </c>
    </row>
    <row r="34" spans="2:10" ht="24">
      <c r="B34" s="57"/>
      <c r="C34" s="56"/>
      <c r="D34" s="42"/>
      <c r="E34" s="112"/>
      <c r="F34" s="112"/>
      <c r="G34" s="113" t="s">
        <v>47</v>
      </c>
      <c r="H34" s="96">
        <f>SUM(H31-H32+H33)</f>
        <v>115506</v>
      </c>
      <c r="I34" s="74" t="s">
        <v>40</v>
      </c>
    </row>
    <row r="35" spans="2:10" ht="24">
      <c r="B35" s="57"/>
      <c r="C35" s="56"/>
      <c r="D35" s="12"/>
      <c r="E35" s="105"/>
      <c r="F35" s="105"/>
      <c r="G35" s="105"/>
      <c r="H35" s="105"/>
      <c r="I35" s="53"/>
    </row>
    <row r="36" spans="2:10" ht="24">
      <c r="B36" s="57"/>
      <c r="C36" s="56"/>
      <c r="D36" s="12"/>
      <c r="E36" s="105"/>
      <c r="F36" s="105"/>
      <c r="G36" s="105"/>
      <c r="H36" s="105"/>
      <c r="I36" s="12"/>
    </row>
    <row r="37" spans="2:10" ht="24">
      <c r="B37" s="57"/>
      <c r="C37" s="56"/>
      <c r="D37" s="12"/>
      <c r="E37" s="12"/>
      <c r="F37" s="12"/>
      <c r="G37" s="12"/>
      <c r="H37" s="12"/>
      <c r="I37" s="12"/>
    </row>
    <row r="38" spans="2:10" ht="24">
      <c r="B38" s="57"/>
      <c r="C38" s="56"/>
      <c r="D38" s="12"/>
      <c r="E38" s="12"/>
      <c r="F38" s="12"/>
      <c r="G38" s="12"/>
      <c r="H38" s="12"/>
      <c r="I38" s="54"/>
    </row>
    <row r="39" spans="2:10" s="11" customFormat="1" ht="20.25" customHeight="1">
      <c r="B39" s="57"/>
      <c r="C39" s="58"/>
      <c r="D39" s="12"/>
      <c r="E39" s="12"/>
      <c r="F39" s="12"/>
      <c r="G39" s="12"/>
      <c r="H39" s="12"/>
      <c r="I39" s="12"/>
      <c r="J39" s="18"/>
    </row>
    <row r="40" spans="2:10" s="11" customFormat="1" ht="20.25" customHeight="1">
      <c r="B40" s="57"/>
      <c r="C40" s="58"/>
      <c r="D40" s="12"/>
      <c r="E40" s="12"/>
      <c r="F40" s="12"/>
      <c r="G40" s="12"/>
      <c r="H40" s="12"/>
      <c r="I40" s="12"/>
    </row>
    <row r="41" spans="2:10" s="11" customFormat="1" ht="20.25" customHeight="1">
      <c r="B41" s="57"/>
      <c r="C41" s="58"/>
      <c r="D41" s="12"/>
      <c r="E41" s="12"/>
      <c r="F41" s="12"/>
      <c r="G41" s="12"/>
      <c r="H41" s="12"/>
      <c r="I41" s="12"/>
    </row>
    <row r="42" spans="2:10" s="11" customFormat="1" ht="20.25" customHeight="1">
      <c r="B42" s="57"/>
      <c r="C42" s="58"/>
      <c r="D42" s="12"/>
      <c r="E42" s="12"/>
      <c r="F42" s="12"/>
      <c r="G42" s="12"/>
      <c r="H42" s="12"/>
      <c r="I42" s="12"/>
    </row>
    <row r="43" spans="2:10" ht="24">
      <c r="B43" s="1"/>
      <c r="C43" s="1"/>
      <c r="D43" s="1"/>
      <c r="E43" s="1"/>
      <c r="F43" s="1"/>
      <c r="G43" s="12"/>
      <c r="H43" s="1"/>
      <c r="I43" s="12"/>
    </row>
    <row r="44" spans="2:10" ht="24">
      <c r="B44" s="12"/>
      <c r="C44" s="12"/>
      <c r="D44" s="12"/>
      <c r="E44" s="12"/>
      <c r="F44" s="12"/>
      <c r="G44" s="12"/>
      <c r="H44" s="12"/>
      <c r="I44" s="41"/>
    </row>
    <row r="45" spans="2:10" ht="24">
      <c r="B45" s="12"/>
      <c r="C45" s="12"/>
      <c r="D45" s="12"/>
      <c r="E45" s="12"/>
      <c r="F45" s="39"/>
      <c r="G45" s="39"/>
      <c r="H45" s="40"/>
      <c r="I45" s="39"/>
    </row>
  </sheetData>
  <mergeCells count="9">
    <mergeCell ref="E27:H27"/>
    <mergeCell ref="E29:H29"/>
    <mergeCell ref="I2:J2"/>
    <mergeCell ref="B6:D6"/>
    <mergeCell ref="G15:G16"/>
    <mergeCell ref="H16:J16"/>
    <mergeCell ref="H17:J17"/>
    <mergeCell ref="B22:I23"/>
    <mergeCell ref="E28:H28"/>
  </mergeCells>
  <phoneticPr fontId="7"/>
  <dataValidations count="1">
    <dataValidation allowBlank="1" showInputMessage="1" showErrorMessage="1" sqref="H2" xr:uid="{F44D7BB3-ACC9-9F41-BF04-454514163843}"/>
  </dataValidations>
  <pageMargins left="0.7" right="0.7" top="0.75" bottom="0.75" header="0.3" footer="0.3"/>
  <pageSetup paperSize="9" scale="77"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FC6F7-372D-B247-BB16-0A9453C850B0}">
  <sheetPr codeName="Sheet24">
    <tabColor theme="7"/>
    <pageSetUpPr fitToPage="1"/>
  </sheetPr>
  <dimension ref="B1:M45"/>
  <sheetViews>
    <sheetView topLeftCell="A16" zoomScaleNormal="100" workbookViewId="0">
      <selection activeCell="H32" sqref="H32"/>
    </sheetView>
  </sheetViews>
  <sheetFormatPr baseColWidth="10" defaultColWidth="8.83203125" defaultRowHeight="18"/>
  <cols>
    <col min="1" max="1" width="8.1640625" customWidth="1"/>
    <col min="2" max="2" width="4.33203125" customWidth="1"/>
    <col min="3" max="3" width="8.5" customWidth="1"/>
    <col min="4" max="4" width="17.1640625" customWidth="1"/>
    <col min="5" max="5" width="13.6640625" customWidth="1"/>
    <col min="6" max="6" width="17.1640625" customWidth="1"/>
    <col min="7" max="7" width="13.6640625" customWidth="1"/>
    <col min="8" max="8" width="17.1640625" customWidth="1"/>
    <col min="9" max="9" width="6.5" customWidth="1"/>
    <col min="10" max="10" width="6.6640625" customWidth="1"/>
    <col min="11" max="11" width="11.1640625" customWidth="1"/>
    <col min="12" max="12" width="6.6640625" customWidth="1"/>
    <col min="13" max="13" width="15.83203125" customWidth="1"/>
    <col min="14" max="14" width="17.6640625" customWidth="1"/>
    <col min="15" max="15" width="18.1640625" customWidth="1"/>
  </cols>
  <sheetData>
    <row r="1" spans="2:13">
      <c r="I1" s="10"/>
    </row>
    <row r="2" spans="2:13" ht="24">
      <c r="B2" s="1"/>
      <c r="G2" s="87"/>
      <c r="H2" s="88"/>
      <c r="I2" s="130"/>
      <c r="J2" s="130"/>
    </row>
    <row r="3" spans="2:13" ht="24" customHeight="1">
      <c r="B3" s="76"/>
      <c r="C3" s="76"/>
      <c r="D3" s="76"/>
      <c r="E3" s="76"/>
      <c r="G3" s="87"/>
      <c r="H3" s="88"/>
      <c r="I3" s="88"/>
    </row>
    <row r="4" spans="2:13" ht="18.75" customHeight="1">
      <c r="B4" s="76"/>
      <c r="C4" s="76"/>
      <c r="D4" s="76"/>
      <c r="E4" s="76"/>
    </row>
    <row r="5" spans="2:13" ht="24">
      <c r="B5" s="33"/>
      <c r="C5" s="33"/>
      <c r="D5" s="33"/>
    </row>
    <row r="6" spans="2:13" ht="45">
      <c r="B6" s="131"/>
      <c r="C6" s="131"/>
      <c r="D6" s="131"/>
      <c r="E6" s="1"/>
      <c r="F6" s="86" t="s">
        <v>137</v>
      </c>
    </row>
    <row r="7" spans="2:13" ht="24">
      <c r="B7" s="1" t="s">
        <v>20</v>
      </c>
      <c r="C7" s="12"/>
      <c r="D7" s="90">
        <v>3000021323</v>
      </c>
      <c r="E7" s="13"/>
    </row>
    <row r="8" spans="2:13" ht="24">
      <c r="B8" s="12" t="s">
        <v>21</v>
      </c>
      <c r="C8" s="12"/>
      <c r="D8" s="12" t="str">
        <f>受給者情報!C24</f>
        <v>葛原　千草</v>
      </c>
      <c r="E8" t="s">
        <v>41</v>
      </c>
    </row>
    <row r="12" spans="2:13" ht="31">
      <c r="E12" s="52" t="s">
        <v>22</v>
      </c>
      <c r="F12" s="52"/>
      <c r="G12" s="52"/>
    </row>
    <row r="13" spans="2:13" ht="24">
      <c r="I13" s="14"/>
      <c r="M13" s="37"/>
    </row>
    <row r="14" spans="2:13">
      <c r="M14" s="37"/>
    </row>
    <row r="15" spans="2:13" ht="24" customHeight="1">
      <c r="G15" s="132" t="s">
        <v>23</v>
      </c>
      <c r="H15" s="49" t="s">
        <v>24</v>
      </c>
      <c r="I15" s="49"/>
      <c r="M15" s="37"/>
    </row>
    <row r="16" spans="2:13" ht="24" customHeight="1">
      <c r="G16" s="132"/>
      <c r="H16" s="133" t="s">
        <v>25</v>
      </c>
      <c r="I16" s="133"/>
      <c r="J16" s="133"/>
      <c r="M16" s="37"/>
    </row>
    <row r="17" spans="2:13" ht="40.5" customHeight="1">
      <c r="G17" s="50"/>
      <c r="H17" s="133" t="s">
        <v>27</v>
      </c>
      <c r="I17" s="133"/>
      <c r="J17" s="133"/>
      <c r="M17" s="37"/>
    </row>
    <row r="18" spans="2:13">
      <c r="G18" s="51" t="s">
        <v>28</v>
      </c>
      <c r="H18" s="51" t="str">
        <f>事業者情報!C5&amp;"　"&amp;事業者情報!C6</f>
        <v>代表取締役社長　澤田昌志</v>
      </c>
      <c r="M18" s="37"/>
    </row>
    <row r="19" spans="2:13">
      <c r="G19" s="51" t="s">
        <v>29</v>
      </c>
      <c r="H19" s="51" t="str">
        <f>事業者情報!C7&amp;""</f>
        <v>0566-63-6817</v>
      </c>
      <c r="M19" s="37"/>
    </row>
    <row r="20" spans="2:13">
      <c r="G20" s="51" t="s">
        <v>30</v>
      </c>
      <c r="H20" s="51" t="str">
        <f>事業者情報!C8&amp;""</f>
        <v>0566-63-6818</v>
      </c>
      <c r="M20" s="37"/>
    </row>
    <row r="21" spans="2:13">
      <c r="M21" s="37"/>
    </row>
    <row r="22" spans="2:13" ht="24" customHeight="1">
      <c r="B22" s="134" t="s">
        <v>135</v>
      </c>
      <c r="C22" s="134"/>
      <c r="D22" s="134"/>
      <c r="E22" s="134"/>
      <c r="F22" s="134"/>
      <c r="G22" s="134"/>
      <c r="H22" s="134"/>
      <c r="I22" s="134"/>
      <c r="M22" s="37"/>
    </row>
    <row r="23" spans="2:13" ht="24" customHeight="1">
      <c r="B23" s="134"/>
      <c r="C23" s="134"/>
      <c r="D23" s="134"/>
      <c r="E23" s="134"/>
      <c r="F23" s="134"/>
      <c r="G23" s="134"/>
      <c r="H23" s="134"/>
      <c r="I23" s="134"/>
      <c r="M23" s="37"/>
    </row>
    <row r="25" spans="2:13" ht="27">
      <c r="C25" s="98">
        <v>9</v>
      </c>
      <c r="D25" s="98" t="s">
        <v>173</v>
      </c>
      <c r="E25" s="71" t="s">
        <v>32</v>
      </c>
      <c r="F25" s="72">
        <f>H34</f>
        <v>276459</v>
      </c>
      <c r="G25" s="16" t="s">
        <v>33</v>
      </c>
    </row>
    <row r="27" spans="2:13" ht="24.75" customHeight="1">
      <c r="B27" s="55"/>
      <c r="C27" s="56"/>
      <c r="D27" s="64" t="s">
        <v>42</v>
      </c>
      <c r="E27" s="136" t="s">
        <v>133</v>
      </c>
      <c r="F27" s="124"/>
      <c r="G27" s="124"/>
      <c r="H27" s="125"/>
      <c r="I27" s="12"/>
    </row>
    <row r="28" spans="2:13" ht="24.75" customHeight="1">
      <c r="B28" s="55"/>
      <c r="C28" s="56"/>
      <c r="D28" s="60" t="s">
        <v>139</v>
      </c>
      <c r="E28" s="135" t="s">
        <v>140</v>
      </c>
      <c r="F28" s="124"/>
      <c r="G28" s="124"/>
      <c r="H28" s="125"/>
      <c r="I28" s="12"/>
    </row>
    <row r="29" spans="2:13" ht="24.75" customHeight="1">
      <c r="B29" s="57"/>
      <c r="C29" s="56"/>
      <c r="D29" s="60" t="s">
        <v>43</v>
      </c>
      <c r="E29" s="126">
        <v>45981</v>
      </c>
      <c r="F29" s="124"/>
      <c r="G29" s="124"/>
      <c r="H29" s="125"/>
      <c r="I29" s="53"/>
    </row>
    <row r="30" spans="2:13" ht="24.75" customHeight="1">
      <c r="B30" s="57"/>
      <c r="C30" s="56"/>
      <c r="D30" s="65" t="s">
        <v>44</v>
      </c>
      <c r="E30" s="61"/>
      <c r="F30" s="67"/>
      <c r="G30" s="45"/>
      <c r="H30" s="104">
        <v>266459</v>
      </c>
      <c r="I30" s="73" t="s">
        <v>45</v>
      </c>
    </row>
    <row r="31" spans="2:13" ht="24.75" customHeight="1">
      <c r="B31" s="57"/>
      <c r="C31" s="56"/>
      <c r="D31" s="62" t="s">
        <v>46</v>
      </c>
      <c r="E31" s="68" t="s">
        <v>35</v>
      </c>
      <c r="F31" s="67"/>
      <c r="G31" s="45"/>
      <c r="H31" s="101">
        <f>H30</f>
        <v>266459</v>
      </c>
      <c r="I31" s="74" t="s">
        <v>40</v>
      </c>
    </row>
    <row r="32" spans="2:13" ht="24.75" customHeight="1">
      <c r="B32" s="57"/>
      <c r="C32" s="56"/>
      <c r="D32" s="62"/>
      <c r="E32" s="68" t="s">
        <v>36</v>
      </c>
      <c r="F32" s="67"/>
      <c r="G32" s="45"/>
      <c r="H32" s="102">
        <v>0</v>
      </c>
      <c r="I32" s="74" t="s">
        <v>40</v>
      </c>
    </row>
    <row r="33" spans="2:10" ht="24.75" customHeight="1">
      <c r="B33" s="57"/>
      <c r="C33" s="56"/>
      <c r="D33" s="62"/>
      <c r="E33" s="66" t="s">
        <v>37</v>
      </c>
      <c r="F33" s="69"/>
      <c r="G33" s="43"/>
      <c r="H33" s="103">
        <v>10000</v>
      </c>
      <c r="I33" s="74" t="s">
        <v>40</v>
      </c>
    </row>
    <row r="34" spans="2:10" ht="24">
      <c r="B34" s="57"/>
      <c r="C34" s="56"/>
      <c r="D34" s="42"/>
      <c r="E34" s="38"/>
      <c r="F34" s="38"/>
      <c r="G34" s="63" t="s">
        <v>47</v>
      </c>
      <c r="H34" s="96">
        <f>SUM(H31-H32+H33)</f>
        <v>276459</v>
      </c>
      <c r="I34" s="74" t="s">
        <v>40</v>
      </c>
    </row>
    <row r="35" spans="2:10" ht="24">
      <c r="B35" s="57"/>
      <c r="C35" s="56"/>
      <c r="D35" s="12"/>
      <c r="E35" s="12"/>
      <c r="F35" s="12"/>
      <c r="G35" s="12"/>
      <c r="H35" s="105"/>
      <c r="I35" s="53"/>
    </row>
    <row r="36" spans="2:10" ht="24">
      <c r="B36" s="57"/>
      <c r="C36" s="56"/>
      <c r="D36" s="12"/>
      <c r="E36" s="12"/>
      <c r="F36" s="12"/>
      <c r="G36" s="12"/>
      <c r="H36" s="105"/>
      <c r="I36" s="12"/>
    </row>
    <row r="37" spans="2:10" ht="24">
      <c r="B37" s="57"/>
      <c r="C37" s="56"/>
      <c r="D37" s="12"/>
      <c r="E37" s="12"/>
      <c r="F37" s="12"/>
      <c r="G37" s="12"/>
      <c r="H37" s="12"/>
      <c r="I37" s="12"/>
    </row>
    <row r="38" spans="2:10" ht="24">
      <c r="B38" s="57"/>
      <c r="C38" s="56"/>
      <c r="D38" s="12"/>
      <c r="E38" s="12"/>
      <c r="F38" s="12"/>
      <c r="G38" s="12"/>
      <c r="H38" s="12"/>
      <c r="I38" s="54"/>
    </row>
    <row r="39" spans="2:10" s="11" customFormat="1" ht="20.25" customHeight="1">
      <c r="B39" s="57"/>
      <c r="C39" s="58"/>
      <c r="D39" s="12"/>
      <c r="E39" s="12"/>
      <c r="F39" s="12"/>
      <c r="G39" s="12"/>
      <c r="H39" s="12"/>
      <c r="I39" s="12"/>
      <c r="J39" s="18"/>
    </row>
    <row r="40" spans="2:10" s="11" customFormat="1" ht="20.25" customHeight="1">
      <c r="B40" s="57"/>
      <c r="C40" s="58"/>
      <c r="D40" s="12"/>
      <c r="E40" s="12"/>
      <c r="F40" s="12"/>
      <c r="G40" s="12"/>
      <c r="H40" s="12"/>
      <c r="I40" s="12"/>
    </row>
    <row r="41" spans="2:10" s="11" customFormat="1" ht="20.25" customHeight="1">
      <c r="B41" s="57"/>
      <c r="C41" s="58"/>
      <c r="D41" s="12"/>
      <c r="E41" s="12"/>
      <c r="F41" s="12"/>
      <c r="G41" s="12"/>
      <c r="H41" s="12"/>
      <c r="I41" s="12"/>
    </row>
    <row r="42" spans="2:10" s="11" customFormat="1" ht="20.25" customHeight="1">
      <c r="B42" s="57"/>
      <c r="C42" s="58"/>
      <c r="D42" s="12"/>
      <c r="E42" s="12"/>
      <c r="F42" s="12"/>
      <c r="G42" s="12"/>
      <c r="H42" s="12"/>
      <c r="I42" s="12"/>
    </row>
    <row r="43" spans="2:10" ht="24">
      <c r="B43" s="1"/>
      <c r="C43" s="1"/>
      <c r="D43" s="1"/>
      <c r="E43" s="1"/>
      <c r="F43" s="1"/>
      <c r="G43" s="12"/>
      <c r="H43" s="1"/>
      <c r="I43" s="12"/>
    </row>
    <row r="44" spans="2:10" ht="24">
      <c r="B44" s="12"/>
      <c r="C44" s="12"/>
      <c r="D44" s="12"/>
      <c r="E44" s="12"/>
      <c r="F44" s="12"/>
      <c r="G44" s="12"/>
      <c r="H44" s="12"/>
      <c r="I44" s="41"/>
    </row>
    <row r="45" spans="2:10" ht="24">
      <c r="B45" s="12"/>
      <c r="C45" s="12"/>
      <c r="D45" s="12"/>
      <c r="E45" s="12"/>
      <c r="F45" s="39"/>
      <c r="G45" s="39"/>
      <c r="H45" s="40"/>
      <c r="I45" s="39"/>
    </row>
  </sheetData>
  <mergeCells count="9">
    <mergeCell ref="E27:H27"/>
    <mergeCell ref="E29:H29"/>
    <mergeCell ref="I2:J2"/>
    <mergeCell ref="B6:D6"/>
    <mergeCell ref="G15:G16"/>
    <mergeCell ref="H16:J16"/>
    <mergeCell ref="H17:J17"/>
    <mergeCell ref="B22:I23"/>
    <mergeCell ref="E28:H28"/>
  </mergeCells>
  <phoneticPr fontId="7"/>
  <dataValidations count="1">
    <dataValidation allowBlank="1" showInputMessage="1" showErrorMessage="1" sqref="H2" xr:uid="{DD1CBCE1-064B-E54A-A51F-49116A4D46A3}"/>
  </dataValidations>
  <pageMargins left="0.7" right="0.7" top="0.75" bottom="0.75" header="0.3" footer="0.3"/>
  <pageSetup paperSize="9" scale="77"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54763-D248-654B-856C-714547A53CFD}">
  <sheetPr codeName="Sheet25">
    <tabColor theme="7"/>
    <pageSetUpPr fitToPage="1"/>
  </sheetPr>
  <dimension ref="B1:M45"/>
  <sheetViews>
    <sheetView topLeftCell="A3" zoomScaleNormal="100" workbookViewId="0">
      <selection activeCell="L33" sqref="L33"/>
    </sheetView>
  </sheetViews>
  <sheetFormatPr baseColWidth="10" defaultColWidth="8.83203125" defaultRowHeight="18"/>
  <cols>
    <col min="1" max="1" width="8.1640625" customWidth="1"/>
    <col min="2" max="2" width="4.33203125" customWidth="1"/>
    <col min="3" max="3" width="8.5" customWidth="1"/>
    <col min="4" max="4" width="17.1640625" customWidth="1"/>
    <col min="5" max="5" width="13.6640625" customWidth="1"/>
    <col min="6" max="6" width="17.1640625" customWidth="1"/>
    <col min="7" max="7" width="13.6640625" customWidth="1"/>
    <col min="8" max="8" width="17.1640625" customWidth="1"/>
    <col min="9" max="9" width="6.5" customWidth="1"/>
    <col min="10" max="10" width="6.6640625" customWidth="1"/>
    <col min="11" max="11" width="11.1640625" customWidth="1"/>
    <col min="12" max="12" width="6.6640625" customWidth="1"/>
    <col min="13" max="13" width="15.83203125" customWidth="1"/>
    <col min="14" max="14" width="17.6640625" customWidth="1"/>
    <col min="15" max="15" width="18.1640625" customWidth="1"/>
  </cols>
  <sheetData>
    <row r="1" spans="2:13">
      <c r="I1" s="10"/>
    </row>
    <row r="2" spans="2:13" ht="24">
      <c r="B2" s="1"/>
      <c r="G2" s="87"/>
      <c r="H2" s="88"/>
      <c r="I2" s="130"/>
      <c r="J2" s="130"/>
    </row>
    <row r="3" spans="2:13" ht="24" customHeight="1">
      <c r="B3" s="76"/>
      <c r="C3" s="76"/>
      <c r="D3" s="76"/>
      <c r="E3" s="76"/>
      <c r="G3" s="87"/>
      <c r="H3" s="88"/>
      <c r="I3" s="88"/>
    </row>
    <row r="4" spans="2:13" ht="18.75" customHeight="1">
      <c r="B4" s="76"/>
      <c r="C4" s="76"/>
      <c r="D4" s="76"/>
      <c r="E4" s="76"/>
    </row>
    <row r="5" spans="2:13" ht="24">
      <c r="B5" s="33"/>
      <c r="C5" s="33"/>
      <c r="D5" s="33"/>
    </row>
    <row r="6" spans="2:13" ht="45">
      <c r="B6" s="131"/>
      <c r="C6" s="131"/>
      <c r="D6" s="131"/>
      <c r="E6" s="1"/>
      <c r="F6" s="86" t="s">
        <v>137</v>
      </c>
    </row>
    <row r="7" spans="2:13" ht="24">
      <c r="B7" s="1" t="s">
        <v>20</v>
      </c>
      <c r="C7" s="12"/>
      <c r="D7" s="91">
        <v>3000012348</v>
      </c>
      <c r="E7" s="13"/>
    </row>
    <row r="8" spans="2:13" ht="24">
      <c r="B8" s="12" t="s">
        <v>21</v>
      </c>
      <c r="C8" s="12"/>
      <c r="D8" s="12">
        <f>受給者情報!C25</f>
        <v>10</v>
      </c>
      <c r="E8" t="s">
        <v>41</v>
      </c>
    </row>
    <row r="12" spans="2:13" ht="31">
      <c r="E12" s="52" t="s">
        <v>22</v>
      </c>
      <c r="F12" s="52"/>
      <c r="G12" s="52"/>
    </row>
    <row r="13" spans="2:13" ht="24">
      <c r="I13" s="14"/>
      <c r="M13" s="37"/>
    </row>
    <row r="14" spans="2:13">
      <c r="M14" s="37"/>
    </row>
    <row r="15" spans="2:13" ht="24" customHeight="1">
      <c r="G15" s="132" t="s">
        <v>23</v>
      </c>
      <c r="H15" s="49" t="s">
        <v>24</v>
      </c>
      <c r="I15" s="49"/>
      <c r="M15" s="37"/>
    </row>
    <row r="16" spans="2:13" ht="24" customHeight="1">
      <c r="G16" s="132"/>
      <c r="H16" s="133" t="s">
        <v>25</v>
      </c>
      <c r="I16" s="133"/>
      <c r="J16" s="133"/>
      <c r="M16" s="37"/>
    </row>
    <row r="17" spans="2:13" ht="40.5" customHeight="1">
      <c r="G17" s="50"/>
      <c r="H17" s="133" t="s">
        <v>27</v>
      </c>
      <c r="I17" s="133"/>
      <c r="J17" s="133"/>
      <c r="M17" s="37"/>
    </row>
    <row r="18" spans="2:13">
      <c r="G18" s="51" t="s">
        <v>28</v>
      </c>
      <c r="H18" s="51" t="str">
        <f>事業者情報!C5&amp;"　"&amp;事業者情報!C6</f>
        <v>代表取締役社長　澤田昌志</v>
      </c>
      <c r="M18" s="37"/>
    </row>
    <row r="19" spans="2:13">
      <c r="G19" s="51" t="s">
        <v>29</v>
      </c>
      <c r="H19" s="51" t="str">
        <f>事業者情報!C7&amp;""</f>
        <v>0566-63-6817</v>
      </c>
      <c r="M19" s="37"/>
    </row>
    <row r="20" spans="2:13">
      <c r="G20" s="51" t="s">
        <v>30</v>
      </c>
      <c r="H20" s="51" t="str">
        <f>事業者情報!C8&amp;""</f>
        <v>0566-63-6818</v>
      </c>
      <c r="M20" s="37"/>
    </row>
    <row r="21" spans="2:13">
      <c r="M21" s="37"/>
    </row>
    <row r="22" spans="2:13" ht="24" customHeight="1">
      <c r="B22" s="134" t="s">
        <v>135</v>
      </c>
      <c r="C22" s="134"/>
      <c r="D22" s="134"/>
      <c r="E22" s="134"/>
      <c r="F22" s="134"/>
      <c r="G22" s="134"/>
      <c r="H22" s="134"/>
      <c r="I22" s="134"/>
      <c r="M22" s="37"/>
    </row>
    <row r="23" spans="2:13" ht="24" customHeight="1">
      <c r="B23" s="134"/>
      <c r="C23" s="134"/>
      <c r="D23" s="134"/>
      <c r="E23" s="134"/>
      <c r="F23" s="134"/>
      <c r="G23" s="134"/>
      <c r="H23" s="134"/>
      <c r="I23" s="134"/>
      <c r="M23" s="37"/>
    </row>
    <row r="25" spans="2:13" ht="27">
      <c r="C25" s="98">
        <v>10</v>
      </c>
      <c r="D25" s="98" t="s">
        <v>173</v>
      </c>
      <c r="E25" s="71" t="s">
        <v>32</v>
      </c>
      <c r="F25" s="72">
        <f>H34</f>
        <v>10000</v>
      </c>
      <c r="G25" s="16" t="s">
        <v>33</v>
      </c>
    </row>
    <row r="27" spans="2:13" ht="24.75" customHeight="1">
      <c r="B27" s="55"/>
      <c r="C27" s="56"/>
      <c r="D27" s="64" t="s">
        <v>42</v>
      </c>
      <c r="E27" s="136" t="s">
        <v>133</v>
      </c>
      <c r="F27" s="124"/>
      <c r="G27" s="124"/>
      <c r="H27" s="125"/>
      <c r="I27" s="12"/>
    </row>
    <row r="28" spans="2:13" ht="24.75" customHeight="1">
      <c r="B28" s="55"/>
      <c r="C28" s="56"/>
      <c r="D28" s="60" t="s">
        <v>139</v>
      </c>
      <c r="E28" s="135" t="s">
        <v>140</v>
      </c>
      <c r="F28" s="124"/>
      <c r="G28" s="124"/>
      <c r="H28" s="125"/>
      <c r="I28" s="12"/>
    </row>
    <row r="29" spans="2:13" ht="24.75" customHeight="1">
      <c r="B29" s="57"/>
      <c r="C29" s="56"/>
      <c r="D29" s="60" t="s">
        <v>43</v>
      </c>
      <c r="E29" s="126">
        <v>46010</v>
      </c>
      <c r="F29" s="124"/>
      <c r="G29" s="124"/>
      <c r="H29" s="125"/>
      <c r="I29" s="53"/>
    </row>
    <row r="30" spans="2:13" ht="24.75" customHeight="1">
      <c r="B30" s="57"/>
      <c r="C30" s="56"/>
      <c r="D30" s="65" t="s">
        <v>44</v>
      </c>
      <c r="E30" s="61"/>
      <c r="F30" s="67"/>
      <c r="G30" s="45"/>
      <c r="H30" s="94"/>
      <c r="I30" s="73" t="s">
        <v>45</v>
      </c>
    </row>
    <row r="31" spans="2:13" ht="24.75" customHeight="1">
      <c r="B31" s="57"/>
      <c r="C31" s="56"/>
      <c r="D31" s="62" t="s">
        <v>46</v>
      </c>
      <c r="E31" s="68" t="s">
        <v>35</v>
      </c>
      <c r="F31" s="67"/>
      <c r="G31" s="45"/>
      <c r="H31" s="44">
        <f>H30</f>
        <v>0</v>
      </c>
      <c r="I31" s="74" t="s">
        <v>40</v>
      </c>
    </row>
    <row r="32" spans="2:13" ht="24.75" customHeight="1">
      <c r="B32" s="57"/>
      <c r="C32" s="56"/>
      <c r="D32" s="62"/>
      <c r="E32" s="68" t="s">
        <v>36</v>
      </c>
      <c r="F32" s="67"/>
      <c r="G32" s="45"/>
      <c r="H32" s="45">
        <v>0</v>
      </c>
      <c r="I32" s="74" t="s">
        <v>40</v>
      </c>
    </row>
    <row r="33" spans="2:10" ht="24.75" customHeight="1">
      <c r="B33" s="57"/>
      <c r="C33" s="56"/>
      <c r="D33" s="62"/>
      <c r="E33" s="66" t="s">
        <v>37</v>
      </c>
      <c r="F33" s="69"/>
      <c r="G33" s="43"/>
      <c r="H33" s="103">
        <v>10000</v>
      </c>
      <c r="I33" s="74" t="s">
        <v>40</v>
      </c>
    </row>
    <row r="34" spans="2:10" ht="24">
      <c r="B34" s="57"/>
      <c r="C34" s="56"/>
      <c r="D34" s="42"/>
      <c r="E34" s="38"/>
      <c r="F34" s="38"/>
      <c r="G34" s="63" t="s">
        <v>47</v>
      </c>
      <c r="H34" s="96">
        <f>SUM(H31-H32+H33)</f>
        <v>10000</v>
      </c>
      <c r="I34" s="74" t="s">
        <v>40</v>
      </c>
    </row>
    <row r="35" spans="2:10" ht="24">
      <c r="B35" s="57"/>
      <c r="C35" s="56"/>
      <c r="D35" s="12"/>
      <c r="E35" s="12"/>
      <c r="F35" s="12"/>
      <c r="G35" s="12"/>
      <c r="H35" s="12"/>
      <c r="I35" s="53"/>
    </row>
    <row r="36" spans="2:10" ht="24">
      <c r="B36" s="57"/>
      <c r="C36" s="56"/>
      <c r="D36" s="12"/>
      <c r="E36" s="12"/>
      <c r="F36" s="12"/>
      <c r="G36" s="12"/>
      <c r="H36" s="12"/>
      <c r="I36" s="12"/>
    </row>
    <row r="37" spans="2:10" ht="24">
      <c r="B37" s="57"/>
      <c r="C37" s="56"/>
      <c r="D37" s="12"/>
      <c r="E37" s="12"/>
      <c r="F37" s="12"/>
      <c r="G37" s="12"/>
      <c r="H37" s="12"/>
      <c r="I37" s="12"/>
    </row>
    <row r="38" spans="2:10" ht="24">
      <c r="B38" s="57"/>
      <c r="C38" s="56"/>
      <c r="D38" s="12"/>
      <c r="E38" s="12"/>
      <c r="F38" s="12"/>
      <c r="G38" s="12"/>
      <c r="H38" s="12"/>
      <c r="I38" s="54"/>
    </row>
    <row r="39" spans="2:10" s="11" customFormat="1" ht="20.25" customHeight="1">
      <c r="B39" s="57"/>
      <c r="C39" s="58"/>
      <c r="D39" s="12"/>
      <c r="E39" s="12"/>
      <c r="F39" s="12"/>
      <c r="G39" s="12"/>
      <c r="H39" s="12"/>
      <c r="I39" s="12"/>
      <c r="J39" s="18"/>
    </row>
    <row r="40" spans="2:10" s="11" customFormat="1" ht="20.25" customHeight="1">
      <c r="B40" s="57"/>
      <c r="C40" s="58"/>
      <c r="D40" s="12"/>
      <c r="E40" s="12"/>
      <c r="F40" s="12"/>
      <c r="G40" s="12"/>
      <c r="H40" s="12"/>
      <c r="I40" s="12"/>
    </row>
    <row r="41" spans="2:10" s="11" customFormat="1" ht="20.25" customHeight="1">
      <c r="B41" s="57"/>
      <c r="C41" s="58"/>
      <c r="D41" s="12"/>
      <c r="E41" s="12"/>
      <c r="F41" s="12"/>
      <c r="G41" s="12"/>
      <c r="H41" s="12"/>
      <c r="I41" s="12"/>
    </row>
    <row r="42" spans="2:10" s="11" customFormat="1" ht="20.25" customHeight="1">
      <c r="B42" s="57"/>
      <c r="C42" s="58"/>
      <c r="D42" s="12"/>
      <c r="E42" s="12"/>
      <c r="F42" s="12"/>
      <c r="G42" s="12"/>
      <c r="H42" s="12"/>
      <c r="I42" s="12"/>
    </row>
    <row r="43" spans="2:10" ht="24">
      <c r="B43" s="1"/>
      <c r="C43" s="1"/>
      <c r="D43" s="1"/>
      <c r="E43" s="1"/>
      <c r="F43" s="1"/>
      <c r="G43" s="12"/>
      <c r="H43" s="1"/>
      <c r="I43" s="12"/>
    </row>
    <row r="44" spans="2:10" ht="24">
      <c r="B44" s="12"/>
      <c r="C44" s="12"/>
      <c r="D44" s="12"/>
      <c r="E44" s="12"/>
      <c r="F44" s="12"/>
      <c r="G44" s="12"/>
      <c r="H44" s="12"/>
      <c r="I44" s="41"/>
    </row>
    <row r="45" spans="2:10" ht="24">
      <c r="B45" s="12"/>
      <c r="C45" s="12"/>
      <c r="D45" s="12"/>
      <c r="E45" s="12"/>
      <c r="F45" s="39"/>
      <c r="G45" s="39"/>
      <c r="H45" s="40"/>
      <c r="I45" s="39"/>
    </row>
  </sheetData>
  <mergeCells count="9">
    <mergeCell ref="E27:H27"/>
    <mergeCell ref="E29:H29"/>
    <mergeCell ref="I2:J2"/>
    <mergeCell ref="B6:D6"/>
    <mergeCell ref="G15:G16"/>
    <mergeCell ref="H16:J16"/>
    <mergeCell ref="H17:J17"/>
    <mergeCell ref="B22:I23"/>
    <mergeCell ref="E28:H28"/>
  </mergeCells>
  <phoneticPr fontId="7"/>
  <dataValidations count="1">
    <dataValidation allowBlank="1" showInputMessage="1" showErrorMessage="1" sqref="H2" xr:uid="{4719A9E2-2963-224A-9FAF-D0CA56D2F71F}"/>
  </dataValidations>
  <pageMargins left="0.7" right="0.7" top="0.75" bottom="0.75" header="0.3" footer="0.3"/>
  <pageSetup paperSize="9" scale="77"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8DE7F-C0ED-F74F-944A-EA1F48DE9F5D}">
  <sheetPr codeName="Sheet26">
    <tabColor theme="7"/>
    <pageSetUpPr fitToPage="1"/>
  </sheetPr>
  <dimension ref="B1:M45"/>
  <sheetViews>
    <sheetView topLeftCell="A16" zoomScaleNormal="100" workbookViewId="0">
      <selection activeCell="H32" sqref="H32"/>
    </sheetView>
  </sheetViews>
  <sheetFormatPr baseColWidth="10" defaultColWidth="8.83203125" defaultRowHeight="18"/>
  <cols>
    <col min="1" max="1" width="8.1640625" customWidth="1"/>
    <col min="2" max="2" width="4.33203125" customWidth="1"/>
    <col min="3" max="3" width="8.5" customWidth="1"/>
    <col min="4" max="4" width="17.1640625" customWidth="1"/>
    <col min="5" max="5" width="13.6640625" customWidth="1"/>
    <col min="6" max="6" width="17.1640625" customWidth="1"/>
    <col min="7" max="7" width="13.6640625" customWidth="1"/>
    <col min="8" max="8" width="17.1640625" customWidth="1"/>
    <col min="9" max="9" width="6.5" customWidth="1"/>
    <col min="10" max="10" width="6.6640625" customWidth="1"/>
    <col min="11" max="11" width="11.1640625" customWidth="1"/>
    <col min="12" max="12" width="6.6640625" customWidth="1"/>
    <col min="13" max="13" width="15.83203125" customWidth="1"/>
    <col min="14" max="14" width="17.6640625" customWidth="1"/>
    <col min="15" max="15" width="18.1640625" customWidth="1"/>
  </cols>
  <sheetData>
    <row r="1" spans="2:13">
      <c r="I1" s="10"/>
    </row>
    <row r="2" spans="2:13" ht="24">
      <c r="B2" s="1"/>
      <c r="G2" s="87"/>
      <c r="H2" s="88"/>
      <c r="I2" s="130"/>
      <c r="J2" s="130"/>
    </row>
    <row r="3" spans="2:13" ht="24" customHeight="1">
      <c r="B3" s="76"/>
      <c r="C3" s="76"/>
      <c r="D3" s="76"/>
      <c r="E3" s="76"/>
      <c r="G3" s="87"/>
      <c r="H3" s="88"/>
      <c r="I3" s="88"/>
    </row>
    <row r="4" spans="2:13" ht="18.75" customHeight="1">
      <c r="B4" s="76"/>
      <c r="C4" s="76"/>
      <c r="D4" s="76"/>
      <c r="E4" s="76"/>
    </row>
    <row r="5" spans="2:13" ht="24">
      <c r="B5" s="33"/>
      <c r="C5" s="33"/>
      <c r="D5" s="33"/>
    </row>
    <row r="6" spans="2:13" ht="45">
      <c r="B6" s="131"/>
      <c r="C6" s="131"/>
      <c r="D6" s="131"/>
      <c r="E6" s="1"/>
      <c r="F6" s="86" t="s">
        <v>137</v>
      </c>
    </row>
    <row r="7" spans="2:13" ht="24">
      <c r="B7" s="1" t="s">
        <v>20</v>
      </c>
      <c r="C7" s="12"/>
      <c r="D7" s="90">
        <v>2420469211</v>
      </c>
      <c r="E7" s="13"/>
    </row>
    <row r="8" spans="2:13" ht="24">
      <c r="B8" s="12" t="s">
        <v>21</v>
      </c>
      <c r="C8" s="12"/>
      <c r="D8" s="12" t="str">
        <f>受給者情報!C26</f>
        <v>二方　萌衣</v>
      </c>
      <c r="E8" t="s">
        <v>41</v>
      </c>
    </row>
    <row r="12" spans="2:13" ht="31">
      <c r="E12" s="52" t="s">
        <v>22</v>
      </c>
      <c r="F12" s="52"/>
      <c r="G12" s="52"/>
    </row>
    <row r="13" spans="2:13" ht="24">
      <c r="I13" s="14"/>
      <c r="M13" s="37"/>
    </row>
    <row r="14" spans="2:13">
      <c r="M14" s="37"/>
    </row>
    <row r="15" spans="2:13" ht="24" customHeight="1">
      <c r="G15" s="132" t="s">
        <v>23</v>
      </c>
      <c r="H15" s="49" t="s">
        <v>24</v>
      </c>
      <c r="I15" s="49"/>
      <c r="M15" s="37"/>
    </row>
    <row r="16" spans="2:13" ht="24" customHeight="1">
      <c r="G16" s="132"/>
      <c r="H16" s="133" t="s">
        <v>25</v>
      </c>
      <c r="I16" s="133"/>
      <c r="J16" s="133"/>
      <c r="M16" s="37"/>
    </row>
    <row r="17" spans="2:13" ht="40.5" customHeight="1">
      <c r="G17" s="50"/>
      <c r="H17" s="133" t="s">
        <v>27</v>
      </c>
      <c r="I17" s="133"/>
      <c r="J17" s="133"/>
      <c r="M17" s="37"/>
    </row>
    <row r="18" spans="2:13">
      <c r="G18" s="51" t="s">
        <v>28</v>
      </c>
      <c r="H18" s="51" t="str">
        <f>事業者情報!C5&amp;"　"&amp;事業者情報!C6</f>
        <v>代表取締役社長　澤田昌志</v>
      </c>
      <c r="M18" s="37"/>
    </row>
    <row r="19" spans="2:13">
      <c r="G19" s="51" t="s">
        <v>29</v>
      </c>
      <c r="H19" s="51" t="str">
        <f>事業者情報!C7&amp;""</f>
        <v>0566-63-6817</v>
      </c>
      <c r="M19" s="37"/>
    </row>
    <row r="20" spans="2:13">
      <c r="G20" s="51" t="s">
        <v>30</v>
      </c>
      <c r="H20" s="51" t="str">
        <f>事業者情報!C8&amp;""</f>
        <v>0566-63-6818</v>
      </c>
      <c r="M20" s="37"/>
    </row>
    <row r="21" spans="2:13">
      <c r="M21" s="37"/>
    </row>
    <row r="22" spans="2:13" ht="24" customHeight="1">
      <c r="B22" s="134" t="s">
        <v>135</v>
      </c>
      <c r="C22" s="134"/>
      <c r="D22" s="134"/>
      <c r="E22" s="134"/>
      <c r="F22" s="134"/>
      <c r="G22" s="134"/>
      <c r="H22" s="134"/>
      <c r="I22" s="134"/>
      <c r="M22" s="37"/>
    </row>
    <row r="23" spans="2:13" ht="24" customHeight="1">
      <c r="B23" s="134"/>
      <c r="C23" s="134"/>
      <c r="D23" s="134"/>
      <c r="E23" s="134"/>
      <c r="F23" s="134"/>
      <c r="G23" s="134"/>
      <c r="H23" s="134"/>
      <c r="I23" s="134"/>
      <c r="M23" s="37"/>
    </row>
    <row r="25" spans="2:13" ht="27">
      <c r="C25" s="98">
        <v>9</v>
      </c>
      <c r="D25" s="98" t="s">
        <v>173</v>
      </c>
      <c r="E25" s="71" t="s">
        <v>32</v>
      </c>
      <c r="F25" s="72">
        <f>H34</f>
        <v>494825</v>
      </c>
      <c r="G25" s="16" t="s">
        <v>33</v>
      </c>
    </row>
    <row r="27" spans="2:13" ht="24.75" customHeight="1">
      <c r="B27" s="55"/>
      <c r="C27" s="56"/>
      <c r="D27" s="64" t="s">
        <v>42</v>
      </c>
      <c r="E27" s="136" t="s">
        <v>163</v>
      </c>
      <c r="F27" s="124"/>
      <c r="G27" s="124"/>
      <c r="H27" s="125"/>
      <c r="I27" s="12"/>
    </row>
    <row r="28" spans="2:13" ht="24.75" customHeight="1">
      <c r="B28" s="55"/>
      <c r="C28" s="56"/>
      <c r="D28" s="60" t="s">
        <v>139</v>
      </c>
      <c r="E28" s="135" t="s">
        <v>140</v>
      </c>
      <c r="F28" s="124"/>
      <c r="G28" s="124"/>
      <c r="H28" s="125"/>
      <c r="I28" s="12"/>
    </row>
    <row r="29" spans="2:13" ht="24.75" customHeight="1">
      <c r="B29" s="57"/>
      <c r="C29" s="56"/>
      <c r="D29" s="60" t="s">
        <v>43</v>
      </c>
      <c r="E29" s="126">
        <v>45981</v>
      </c>
      <c r="F29" s="124"/>
      <c r="G29" s="124"/>
      <c r="H29" s="125"/>
      <c r="I29" s="53"/>
    </row>
    <row r="30" spans="2:13" ht="24.75" customHeight="1">
      <c r="B30" s="57"/>
      <c r="C30" s="56"/>
      <c r="D30" s="65" t="s">
        <v>44</v>
      </c>
      <c r="E30" s="61"/>
      <c r="F30" s="67"/>
      <c r="G30" s="45"/>
      <c r="H30" s="104">
        <v>484825</v>
      </c>
      <c r="I30" s="73" t="s">
        <v>45</v>
      </c>
    </row>
    <row r="31" spans="2:13" ht="24.75" customHeight="1">
      <c r="B31" s="57"/>
      <c r="C31" s="56"/>
      <c r="D31" s="62" t="s">
        <v>46</v>
      </c>
      <c r="E31" s="68" t="s">
        <v>35</v>
      </c>
      <c r="F31" s="67"/>
      <c r="G31" s="45"/>
      <c r="H31" s="101">
        <f>H30</f>
        <v>484825</v>
      </c>
      <c r="I31" s="74" t="s">
        <v>40</v>
      </c>
    </row>
    <row r="32" spans="2:13" ht="24.75" customHeight="1">
      <c r="B32" s="57"/>
      <c r="C32" s="56"/>
      <c r="D32" s="62"/>
      <c r="E32" s="68" t="s">
        <v>36</v>
      </c>
      <c r="F32" s="67"/>
      <c r="G32" s="45"/>
      <c r="H32" s="102">
        <v>0</v>
      </c>
      <c r="I32" s="74" t="s">
        <v>40</v>
      </c>
    </row>
    <row r="33" spans="2:10" ht="24.75" customHeight="1">
      <c r="B33" s="57"/>
      <c r="C33" s="56"/>
      <c r="D33" s="62"/>
      <c r="E33" s="66" t="s">
        <v>37</v>
      </c>
      <c r="F33" s="69"/>
      <c r="G33" s="43"/>
      <c r="H33" s="103">
        <v>10000</v>
      </c>
      <c r="I33" s="74" t="s">
        <v>40</v>
      </c>
    </row>
    <row r="34" spans="2:10" ht="24">
      <c r="B34" s="57"/>
      <c r="C34" s="56"/>
      <c r="D34" s="42"/>
      <c r="E34" s="38"/>
      <c r="F34" s="38"/>
      <c r="G34" s="63" t="s">
        <v>47</v>
      </c>
      <c r="H34" s="96">
        <f>SUM(H31-H32+H33)</f>
        <v>494825</v>
      </c>
      <c r="I34" s="74" t="s">
        <v>40</v>
      </c>
    </row>
    <row r="35" spans="2:10" ht="24">
      <c r="B35" s="57"/>
      <c r="C35" s="56"/>
      <c r="D35" s="12"/>
      <c r="E35" s="12"/>
      <c r="F35" s="12"/>
      <c r="G35" s="12"/>
      <c r="H35" s="105"/>
      <c r="I35" s="53"/>
    </row>
    <row r="36" spans="2:10" ht="24">
      <c r="B36" s="57"/>
      <c r="C36" s="56"/>
      <c r="D36" s="12"/>
      <c r="E36" s="12"/>
      <c r="F36" s="12"/>
      <c r="G36" s="12"/>
      <c r="H36" s="105"/>
      <c r="I36" s="12"/>
    </row>
    <row r="37" spans="2:10" ht="24">
      <c r="B37" s="57"/>
      <c r="C37" s="56"/>
      <c r="D37" s="12"/>
      <c r="E37" s="12"/>
      <c r="F37" s="12"/>
      <c r="G37" s="12"/>
      <c r="H37" s="105"/>
      <c r="I37" s="12"/>
    </row>
    <row r="38" spans="2:10" ht="24">
      <c r="B38" s="57"/>
      <c r="C38" s="56"/>
      <c r="D38" s="12"/>
      <c r="E38" s="12"/>
      <c r="F38" s="12"/>
      <c r="G38" s="12"/>
      <c r="H38" s="12"/>
      <c r="I38" s="54"/>
    </row>
    <row r="39" spans="2:10" s="11" customFormat="1" ht="20.25" customHeight="1">
      <c r="B39" s="57"/>
      <c r="C39" s="58"/>
      <c r="D39" s="12"/>
      <c r="E39" s="12"/>
      <c r="F39" s="12"/>
      <c r="G39" s="12"/>
      <c r="H39" s="12"/>
      <c r="I39" s="12"/>
      <c r="J39" s="18"/>
    </row>
    <row r="40" spans="2:10" s="11" customFormat="1" ht="20.25" customHeight="1">
      <c r="B40" s="57"/>
      <c r="C40" s="58"/>
      <c r="D40" s="12"/>
      <c r="E40" s="12"/>
      <c r="F40" s="12"/>
      <c r="G40" s="12"/>
      <c r="H40" s="12"/>
      <c r="I40" s="12"/>
    </row>
    <row r="41" spans="2:10" s="11" customFormat="1" ht="20.25" customHeight="1">
      <c r="B41" s="57"/>
      <c r="C41" s="58"/>
      <c r="D41" s="12"/>
      <c r="E41" s="12"/>
      <c r="F41" s="12"/>
      <c r="G41" s="12"/>
      <c r="H41" s="12"/>
      <c r="I41" s="12"/>
    </row>
    <row r="42" spans="2:10" s="11" customFormat="1" ht="20.25" customHeight="1">
      <c r="B42" s="57"/>
      <c r="C42" s="58"/>
      <c r="D42" s="12"/>
      <c r="E42" s="12"/>
      <c r="F42" s="12"/>
      <c r="G42" s="12"/>
      <c r="H42" s="12"/>
      <c r="I42" s="12"/>
    </row>
    <row r="43" spans="2:10" ht="24">
      <c r="B43" s="1"/>
      <c r="C43" s="1"/>
      <c r="D43" s="1"/>
      <c r="E43" s="1"/>
      <c r="F43" s="1"/>
      <c r="G43" s="12"/>
      <c r="H43" s="1"/>
      <c r="I43" s="12"/>
    </row>
    <row r="44" spans="2:10" ht="24">
      <c r="B44" s="12"/>
      <c r="C44" s="12"/>
      <c r="D44" s="12"/>
      <c r="E44" s="12"/>
      <c r="F44" s="12"/>
      <c r="G44" s="12"/>
      <c r="H44" s="12"/>
      <c r="I44" s="41"/>
    </row>
    <row r="45" spans="2:10" ht="24">
      <c r="B45" s="12"/>
      <c r="C45" s="12"/>
      <c r="D45" s="12"/>
      <c r="E45" s="12"/>
      <c r="F45" s="39"/>
      <c r="G45" s="39"/>
      <c r="H45" s="40"/>
      <c r="I45" s="39"/>
    </row>
  </sheetData>
  <mergeCells count="9">
    <mergeCell ref="E27:H27"/>
    <mergeCell ref="E29:H29"/>
    <mergeCell ref="I2:J2"/>
    <mergeCell ref="B6:D6"/>
    <mergeCell ref="G15:G16"/>
    <mergeCell ref="H16:J16"/>
    <mergeCell ref="H17:J17"/>
    <mergeCell ref="B22:I23"/>
    <mergeCell ref="E28:H28"/>
  </mergeCells>
  <phoneticPr fontId="7"/>
  <dataValidations count="1">
    <dataValidation allowBlank="1" showInputMessage="1" showErrorMessage="1" sqref="H2" xr:uid="{7E59D498-DA5E-4A4E-B931-2A1DC344E775}"/>
  </dataValidations>
  <pageMargins left="0.7" right="0.7" top="0.75" bottom="0.75" header="0.3" footer="0.3"/>
  <pageSetup paperSize="9" scale="77"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D77FF-45F9-4249-A763-7657E0013F07}">
  <sheetPr>
    <tabColor theme="7"/>
    <pageSetUpPr fitToPage="1"/>
  </sheetPr>
  <dimension ref="B1:M45"/>
  <sheetViews>
    <sheetView topLeftCell="A7" zoomScaleNormal="100" workbookViewId="0">
      <selection activeCell="L33" sqref="L33"/>
    </sheetView>
  </sheetViews>
  <sheetFormatPr baseColWidth="10" defaultColWidth="8.83203125" defaultRowHeight="18"/>
  <cols>
    <col min="1" max="1" width="8.1640625" customWidth="1"/>
    <col min="2" max="2" width="4.33203125" customWidth="1"/>
    <col min="3" max="3" width="8.5" customWidth="1"/>
    <col min="4" max="4" width="17.1640625" customWidth="1"/>
    <col min="5" max="5" width="13.6640625" customWidth="1"/>
    <col min="6" max="6" width="17.1640625" customWidth="1"/>
    <col min="7" max="7" width="13.6640625" customWidth="1"/>
    <col min="8" max="8" width="17.1640625" customWidth="1"/>
    <col min="9" max="9" width="6.5" customWidth="1"/>
    <col min="10" max="10" width="6.6640625" customWidth="1"/>
    <col min="11" max="11" width="11.1640625" customWidth="1"/>
    <col min="12" max="12" width="6.6640625" customWidth="1"/>
    <col min="13" max="13" width="15.83203125" customWidth="1"/>
    <col min="14" max="14" width="17.6640625" customWidth="1"/>
    <col min="15" max="15" width="18.1640625" customWidth="1"/>
  </cols>
  <sheetData>
    <row r="1" spans="2:13">
      <c r="I1" s="10"/>
    </row>
    <row r="2" spans="2:13" ht="24">
      <c r="B2" s="1"/>
      <c r="G2" s="87"/>
      <c r="H2" s="88"/>
      <c r="I2" s="130"/>
      <c r="J2" s="130"/>
    </row>
    <row r="3" spans="2:13" ht="24" customHeight="1">
      <c r="B3" s="76"/>
      <c r="C3" s="76"/>
      <c r="D3" s="76"/>
      <c r="E3" s="76"/>
      <c r="G3" s="87"/>
      <c r="H3" s="88"/>
      <c r="I3" s="88"/>
    </row>
    <row r="4" spans="2:13" ht="18.75" customHeight="1">
      <c r="B4" s="76"/>
      <c r="C4" s="76"/>
      <c r="D4" s="76"/>
      <c r="E4" s="76"/>
    </row>
    <row r="5" spans="2:13" ht="24">
      <c r="B5" s="33"/>
      <c r="C5" s="33"/>
      <c r="D5" s="33"/>
    </row>
    <row r="6" spans="2:13" ht="45">
      <c r="B6" s="131"/>
      <c r="C6" s="131"/>
      <c r="D6" s="131"/>
      <c r="E6" s="1"/>
      <c r="F6" s="86" t="s">
        <v>137</v>
      </c>
    </row>
    <row r="7" spans="2:13" ht="24">
      <c r="B7" s="1" t="s">
        <v>20</v>
      </c>
      <c r="C7" s="12"/>
      <c r="D7" s="92">
        <v>1503457</v>
      </c>
      <c r="E7" s="13"/>
    </row>
    <row r="8" spans="2:13" ht="24">
      <c r="B8" s="12" t="s">
        <v>21</v>
      </c>
      <c r="C8" s="12"/>
      <c r="D8" s="12" t="str">
        <f>受給者情報!C27</f>
        <v>長谷部かす美</v>
      </c>
      <c r="E8" t="s">
        <v>41</v>
      </c>
    </row>
    <row r="12" spans="2:13" ht="31">
      <c r="E12" s="52" t="s">
        <v>22</v>
      </c>
      <c r="F12" s="52"/>
      <c r="G12" s="52"/>
    </row>
    <row r="13" spans="2:13" ht="24">
      <c r="I13" s="14"/>
      <c r="M13" s="37"/>
    </row>
    <row r="14" spans="2:13">
      <c r="M14" s="37"/>
    </row>
    <row r="15" spans="2:13" ht="24" customHeight="1">
      <c r="G15" s="132" t="s">
        <v>23</v>
      </c>
      <c r="H15" s="49" t="s">
        <v>24</v>
      </c>
      <c r="I15" s="49"/>
      <c r="M15" s="37"/>
    </row>
    <row r="16" spans="2:13" ht="24" customHeight="1">
      <c r="G16" s="132"/>
      <c r="H16" s="133" t="s">
        <v>25</v>
      </c>
      <c r="I16" s="133"/>
      <c r="J16" s="133"/>
      <c r="M16" s="37"/>
    </row>
    <row r="17" spans="2:13" ht="40.5" customHeight="1">
      <c r="G17" s="50"/>
      <c r="H17" s="133" t="s">
        <v>27</v>
      </c>
      <c r="I17" s="133"/>
      <c r="J17" s="133"/>
      <c r="M17" s="37"/>
    </row>
    <row r="18" spans="2:13">
      <c r="G18" s="51" t="s">
        <v>28</v>
      </c>
      <c r="H18" s="51" t="str">
        <f>事業者情報!C5&amp;"　"&amp;事業者情報!C6</f>
        <v>代表取締役社長　澤田昌志</v>
      </c>
      <c r="M18" s="37"/>
    </row>
    <row r="19" spans="2:13">
      <c r="G19" s="51" t="s">
        <v>29</v>
      </c>
      <c r="H19" s="51" t="str">
        <f>事業者情報!C7&amp;""</f>
        <v>0566-63-6817</v>
      </c>
      <c r="M19" s="37"/>
    </row>
    <row r="20" spans="2:13">
      <c r="G20" s="51" t="s">
        <v>30</v>
      </c>
      <c r="H20" s="51" t="str">
        <f>事業者情報!C8&amp;""</f>
        <v>0566-63-6818</v>
      </c>
      <c r="M20" s="37"/>
    </row>
    <row r="21" spans="2:13">
      <c r="M21" s="37"/>
    </row>
    <row r="22" spans="2:13" ht="24" customHeight="1">
      <c r="B22" s="134" t="s">
        <v>135</v>
      </c>
      <c r="C22" s="134"/>
      <c r="D22" s="134"/>
      <c r="E22" s="134"/>
      <c r="F22" s="134"/>
      <c r="G22" s="134"/>
      <c r="H22" s="134"/>
      <c r="I22" s="134"/>
      <c r="M22" s="37"/>
    </row>
    <row r="23" spans="2:13" ht="24" customHeight="1">
      <c r="B23" s="134"/>
      <c r="C23" s="134"/>
      <c r="D23" s="134"/>
      <c r="E23" s="134"/>
      <c r="F23" s="134"/>
      <c r="G23" s="134"/>
      <c r="H23" s="134"/>
      <c r="I23" s="134"/>
      <c r="M23" s="37"/>
    </row>
    <row r="25" spans="2:13" ht="27">
      <c r="C25" s="98">
        <v>10</v>
      </c>
      <c r="D25" s="98" t="s">
        <v>173</v>
      </c>
      <c r="E25" s="71" t="s">
        <v>32</v>
      </c>
      <c r="F25" s="72">
        <f>H34</f>
        <v>10000</v>
      </c>
      <c r="G25" s="16" t="s">
        <v>33</v>
      </c>
    </row>
    <row r="27" spans="2:13" ht="24.75" customHeight="1">
      <c r="B27" s="55"/>
      <c r="C27" s="56"/>
      <c r="D27" s="64" t="s">
        <v>42</v>
      </c>
      <c r="E27" s="136" t="s">
        <v>148</v>
      </c>
      <c r="F27" s="124"/>
      <c r="G27" s="124"/>
      <c r="H27" s="125"/>
      <c r="I27" s="12"/>
    </row>
    <row r="28" spans="2:13" ht="24.75" customHeight="1">
      <c r="B28" s="55"/>
      <c r="C28" s="56"/>
      <c r="D28" s="60" t="s">
        <v>139</v>
      </c>
      <c r="E28" s="135" t="s">
        <v>140</v>
      </c>
      <c r="F28" s="124"/>
      <c r="G28" s="124"/>
      <c r="H28" s="125"/>
      <c r="I28" s="12"/>
    </row>
    <row r="29" spans="2:13" ht="24.75" customHeight="1">
      <c r="B29" s="57"/>
      <c r="C29" s="56"/>
      <c r="D29" s="60" t="s">
        <v>43</v>
      </c>
      <c r="E29" s="126">
        <v>46010</v>
      </c>
      <c r="F29" s="124"/>
      <c r="G29" s="124"/>
      <c r="H29" s="125"/>
      <c r="I29" s="53"/>
    </row>
    <row r="30" spans="2:13" ht="24.75" customHeight="1">
      <c r="B30" s="57"/>
      <c r="C30" s="56"/>
      <c r="D30" s="65" t="s">
        <v>44</v>
      </c>
      <c r="E30" s="61"/>
      <c r="F30" s="67"/>
      <c r="G30" s="45"/>
      <c r="H30" s="46"/>
      <c r="I30" s="73" t="s">
        <v>45</v>
      </c>
    </row>
    <row r="31" spans="2:13" ht="24.75" customHeight="1">
      <c r="B31" s="57"/>
      <c r="C31" s="56"/>
      <c r="D31" s="62" t="s">
        <v>46</v>
      </c>
      <c r="E31" s="68" t="s">
        <v>35</v>
      </c>
      <c r="F31" s="67"/>
      <c r="G31" s="45"/>
      <c r="H31" s="44">
        <f>H30</f>
        <v>0</v>
      </c>
      <c r="I31" s="74" t="s">
        <v>40</v>
      </c>
    </row>
    <row r="32" spans="2:13" ht="24.75" customHeight="1">
      <c r="B32" s="57"/>
      <c r="C32" s="56"/>
      <c r="D32" s="62"/>
      <c r="E32" s="68" t="s">
        <v>36</v>
      </c>
      <c r="F32" s="67"/>
      <c r="G32" s="45"/>
      <c r="H32" s="45">
        <v>0</v>
      </c>
      <c r="I32" s="74" t="s">
        <v>40</v>
      </c>
    </row>
    <row r="33" spans="2:10" ht="24.75" customHeight="1">
      <c r="B33" s="57"/>
      <c r="C33" s="56"/>
      <c r="D33" s="62"/>
      <c r="E33" s="66" t="s">
        <v>37</v>
      </c>
      <c r="F33" s="69"/>
      <c r="G33" s="43"/>
      <c r="H33" s="59">
        <v>10000</v>
      </c>
      <c r="I33" s="74" t="s">
        <v>40</v>
      </c>
    </row>
    <row r="34" spans="2:10" ht="24">
      <c r="B34" s="57"/>
      <c r="C34" s="56"/>
      <c r="D34" s="42"/>
      <c r="E34" s="38"/>
      <c r="F34" s="38"/>
      <c r="G34" s="63" t="s">
        <v>47</v>
      </c>
      <c r="H34" s="70">
        <f>SUM(H31-H32+H33)</f>
        <v>10000</v>
      </c>
      <c r="I34" s="74" t="s">
        <v>40</v>
      </c>
    </row>
    <row r="35" spans="2:10" ht="24">
      <c r="B35" s="57"/>
      <c r="C35" s="56"/>
      <c r="D35" s="12"/>
      <c r="E35" s="12"/>
      <c r="F35" s="12"/>
      <c r="G35" s="12"/>
      <c r="H35" s="12"/>
      <c r="I35" s="53"/>
    </row>
    <row r="36" spans="2:10" ht="24">
      <c r="B36" s="57"/>
      <c r="C36" s="56"/>
      <c r="D36" s="12"/>
      <c r="E36" s="12"/>
      <c r="F36" s="12"/>
      <c r="G36" s="12"/>
      <c r="H36" s="12"/>
      <c r="I36" s="12"/>
    </row>
    <row r="37" spans="2:10" ht="24">
      <c r="B37" s="57"/>
      <c r="C37" s="56"/>
      <c r="D37" s="12"/>
      <c r="E37" s="12"/>
      <c r="F37" s="12"/>
      <c r="G37" s="12"/>
      <c r="H37" s="12"/>
      <c r="I37" s="12"/>
    </row>
    <row r="38" spans="2:10" ht="24">
      <c r="B38" s="57"/>
      <c r="C38" s="56"/>
      <c r="D38" s="12"/>
      <c r="E38" s="12"/>
      <c r="F38" s="12"/>
      <c r="G38" s="12"/>
      <c r="H38" s="12"/>
      <c r="I38" s="54"/>
    </row>
    <row r="39" spans="2:10" s="11" customFormat="1" ht="20.25" customHeight="1">
      <c r="B39" s="57"/>
      <c r="C39" s="58"/>
      <c r="D39" s="12"/>
      <c r="E39" s="12"/>
      <c r="F39" s="12"/>
      <c r="G39" s="12"/>
      <c r="H39" s="12"/>
      <c r="I39" s="12"/>
      <c r="J39" s="18"/>
    </row>
    <row r="40" spans="2:10" s="11" customFormat="1" ht="20.25" customHeight="1">
      <c r="B40" s="57"/>
      <c r="C40" s="58"/>
      <c r="D40" s="12"/>
      <c r="E40" s="12"/>
      <c r="F40" s="12"/>
      <c r="G40" s="12"/>
      <c r="H40" s="12"/>
      <c r="I40" s="12"/>
    </row>
    <row r="41" spans="2:10" s="11" customFormat="1" ht="20.25" customHeight="1">
      <c r="B41" s="57"/>
      <c r="C41" s="58"/>
      <c r="D41" s="12"/>
      <c r="E41" s="12"/>
      <c r="F41" s="12"/>
      <c r="G41" s="12"/>
      <c r="H41" s="12"/>
      <c r="I41" s="12"/>
    </row>
    <row r="42" spans="2:10" s="11" customFormat="1" ht="20.25" customHeight="1">
      <c r="B42" s="57"/>
      <c r="C42" s="58"/>
      <c r="D42" s="12"/>
      <c r="E42" s="12"/>
      <c r="F42" s="12"/>
      <c r="G42" s="12"/>
      <c r="H42" s="12"/>
      <c r="I42" s="12"/>
    </row>
    <row r="43" spans="2:10" ht="24">
      <c r="B43" s="1"/>
      <c r="C43" s="1"/>
      <c r="D43" s="1"/>
      <c r="E43" s="1"/>
      <c r="F43" s="1"/>
      <c r="G43" s="12"/>
      <c r="H43" s="1"/>
      <c r="I43" s="12"/>
    </row>
    <row r="44" spans="2:10" ht="24">
      <c r="B44" s="12"/>
      <c r="C44" s="12"/>
      <c r="D44" s="12"/>
      <c r="E44" s="12"/>
      <c r="F44" s="12"/>
      <c r="G44" s="12"/>
      <c r="H44" s="12"/>
      <c r="I44" s="41"/>
    </row>
    <row r="45" spans="2:10" ht="24">
      <c r="B45" s="12"/>
      <c r="C45" s="12"/>
      <c r="D45" s="12"/>
      <c r="E45" s="12"/>
      <c r="F45" s="39"/>
      <c r="G45" s="39"/>
      <c r="H45" s="40"/>
      <c r="I45" s="39"/>
    </row>
  </sheetData>
  <mergeCells count="9">
    <mergeCell ref="E27:H27"/>
    <mergeCell ref="E29:H29"/>
    <mergeCell ref="E28:H28"/>
    <mergeCell ref="I2:J2"/>
    <mergeCell ref="B6:D6"/>
    <mergeCell ref="G15:G16"/>
    <mergeCell ref="H16:J16"/>
    <mergeCell ref="H17:J17"/>
    <mergeCell ref="B22:I23"/>
  </mergeCells>
  <phoneticPr fontId="7"/>
  <dataValidations count="1">
    <dataValidation allowBlank="1" showInputMessage="1" showErrorMessage="1" sqref="H2" xr:uid="{FBFB722A-6489-6D4D-B1D4-B9571727415B}"/>
  </dataValidations>
  <pageMargins left="0.7" right="0.7" top="0.75" bottom="0.75" header="0.3" footer="0.3"/>
  <pageSetup paperSize="9" scale="77"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94158-CEF8-8F42-9D7D-A1508B0DD816}">
  <sheetPr>
    <tabColor theme="7"/>
    <pageSetUpPr fitToPage="1"/>
  </sheetPr>
  <dimension ref="B1:M45"/>
  <sheetViews>
    <sheetView topLeftCell="A13" zoomScaleNormal="100" workbookViewId="0">
      <selection activeCell="L33" sqref="L33"/>
    </sheetView>
  </sheetViews>
  <sheetFormatPr baseColWidth="10" defaultColWidth="8.83203125" defaultRowHeight="18"/>
  <cols>
    <col min="1" max="1" width="8.1640625" customWidth="1"/>
    <col min="2" max="2" width="4.33203125" customWidth="1"/>
    <col min="3" max="3" width="8.5" customWidth="1"/>
    <col min="4" max="4" width="17.1640625" customWidth="1"/>
    <col min="5" max="5" width="13.6640625" customWidth="1"/>
    <col min="6" max="6" width="17.1640625" customWidth="1"/>
    <col min="7" max="7" width="13.6640625" customWidth="1"/>
    <col min="8" max="8" width="17.1640625" customWidth="1"/>
    <col min="9" max="9" width="6.5" customWidth="1"/>
    <col min="10" max="10" width="6.6640625" customWidth="1"/>
    <col min="11" max="11" width="11.1640625" customWidth="1"/>
    <col min="12" max="12" width="6.6640625" customWidth="1"/>
    <col min="13" max="13" width="15.83203125" customWidth="1"/>
    <col min="14" max="14" width="17.6640625" customWidth="1"/>
    <col min="15" max="15" width="18.1640625" customWidth="1"/>
  </cols>
  <sheetData>
    <row r="1" spans="2:13">
      <c r="I1" s="10"/>
    </row>
    <row r="2" spans="2:13" ht="24">
      <c r="B2" s="1"/>
      <c r="G2" s="87"/>
      <c r="H2" s="88"/>
      <c r="I2" s="130"/>
      <c r="J2" s="130"/>
    </row>
    <row r="3" spans="2:13" ht="24" customHeight="1">
      <c r="B3" s="76"/>
      <c r="C3" s="76"/>
      <c r="D3" s="76"/>
      <c r="E3" s="76"/>
      <c r="G3" s="87"/>
      <c r="H3" s="88"/>
      <c r="I3" s="88"/>
    </row>
    <row r="4" spans="2:13" ht="18.75" customHeight="1">
      <c r="B4" s="76"/>
      <c r="C4" s="76"/>
      <c r="D4" s="76"/>
      <c r="E4" s="76"/>
    </row>
    <row r="5" spans="2:13" ht="24">
      <c r="B5" s="33"/>
      <c r="C5" s="33"/>
      <c r="D5" s="33"/>
    </row>
    <row r="6" spans="2:13" ht="45">
      <c r="B6" s="131"/>
      <c r="C6" s="131"/>
      <c r="D6" s="131"/>
      <c r="E6" s="1"/>
      <c r="F6" s="86" t="s">
        <v>137</v>
      </c>
    </row>
    <row r="7" spans="2:13" ht="24">
      <c r="B7" s="1" t="s">
        <v>20</v>
      </c>
      <c r="C7" s="12"/>
      <c r="D7" s="90">
        <v>3000008965</v>
      </c>
      <c r="E7" s="13"/>
    </row>
    <row r="8" spans="2:13" ht="24">
      <c r="B8" s="12" t="s">
        <v>21</v>
      </c>
      <c r="C8" s="12"/>
      <c r="D8" s="12" t="str">
        <f>受給者情報!C28</f>
        <v>中田有賀里</v>
      </c>
      <c r="E8" t="s">
        <v>41</v>
      </c>
    </row>
    <row r="12" spans="2:13" ht="31">
      <c r="E12" s="52" t="s">
        <v>22</v>
      </c>
      <c r="F12" s="52"/>
      <c r="G12" s="52"/>
    </row>
    <row r="13" spans="2:13" ht="24">
      <c r="I13" s="14"/>
      <c r="M13" s="37"/>
    </row>
    <row r="14" spans="2:13">
      <c r="M14" s="37"/>
    </row>
    <row r="15" spans="2:13" ht="24" customHeight="1">
      <c r="G15" s="132" t="s">
        <v>23</v>
      </c>
      <c r="H15" s="49" t="s">
        <v>24</v>
      </c>
      <c r="I15" s="49"/>
      <c r="M15" s="37"/>
    </row>
    <row r="16" spans="2:13" ht="24" customHeight="1">
      <c r="G16" s="132"/>
      <c r="H16" s="133" t="s">
        <v>25</v>
      </c>
      <c r="I16" s="133"/>
      <c r="J16" s="133"/>
      <c r="M16" s="37"/>
    </row>
    <row r="17" spans="2:13" ht="40.5" customHeight="1">
      <c r="G17" s="50"/>
      <c r="H17" s="133" t="s">
        <v>27</v>
      </c>
      <c r="I17" s="133"/>
      <c r="J17" s="133"/>
      <c r="M17" s="37"/>
    </row>
    <row r="18" spans="2:13">
      <c r="G18" s="51" t="s">
        <v>28</v>
      </c>
      <c r="H18" s="51" t="str">
        <f>事業者情報!C5&amp;"　"&amp;事業者情報!C6</f>
        <v>代表取締役社長　澤田昌志</v>
      </c>
      <c r="M18" s="37"/>
    </row>
    <row r="19" spans="2:13">
      <c r="G19" s="51" t="s">
        <v>29</v>
      </c>
      <c r="H19" s="51" t="str">
        <f>事業者情報!C7&amp;""</f>
        <v>0566-63-6817</v>
      </c>
      <c r="M19" s="37"/>
    </row>
    <row r="20" spans="2:13">
      <c r="G20" s="51" t="s">
        <v>30</v>
      </c>
      <c r="H20" s="51" t="str">
        <f>事業者情報!C8&amp;""</f>
        <v>0566-63-6818</v>
      </c>
      <c r="M20" s="37"/>
    </row>
    <row r="21" spans="2:13">
      <c r="M21" s="37"/>
    </row>
    <row r="22" spans="2:13" ht="24" customHeight="1">
      <c r="B22" s="134" t="s">
        <v>135</v>
      </c>
      <c r="C22" s="134"/>
      <c r="D22" s="134"/>
      <c r="E22" s="134"/>
      <c r="F22" s="134"/>
      <c r="G22" s="134"/>
      <c r="H22" s="134"/>
      <c r="I22" s="134"/>
      <c r="M22" s="37"/>
    </row>
    <row r="23" spans="2:13" ht="24" customHeight="1">
      <c r="B23" s="134"/>
      <c r="C23" s="134"/>
      <c r="D23" s="134"/>
      <c r="E23" s="134"/>
      <c r="F23" s="134"/>
      <c r="G23" s="134"/>
      <c r="H23" s="134"/>
      <c r="I23" s="134"/>
      <c r="M23" s="37"/>
    </row>
    <row r="25" spans="2:13" ht="27">
      <c r="C25" s="98">
        <v>10</v>
      </c>
      <c r="D25" s="98" t="s">
        <v>173</v>
      </c>
      <c r="E25" s="71" t="s">
        <v>32</v>
      </c>
      <c r="F25" s="72">
        <f>H34</f>
        <v>10000</v>
      </c>
      <c r="G25" s="16" t="s">
        <v>33</v>
      </c>
    </row>
    <row r="27" spans="2:13" ht="24.75" customHeight="1">
      <c r="B27" s="55"/>
      <c r="C27" s="56"/>
      <c r="D27" s="64" t="s">
        <v>42</v>
      </c>
      <c r="E27" s="136" t="s">
        <v>133</v>
      </c>
      <c r="F27" s="124"/>
      <c r="G27" s="124"/>
      <c r="H27" s="125"/>
      <c r="I27" s="12"/>
    </row>
    <row r="28" spans="2:13" ht="24.75" customHeight="1">
      <c r="B28" s="55"/>
      <c r="C28" s="56"/>
      <c r="D28" s="60" t="s">
        <v>139</v>
      </c>
      <c r="E28" s="135" t="s">
        <v>140</v>
      </c>
      <c r="F28" s="124"/>
      <c r="G28" s="124"/>
      <c r="H28" s="125"/>
      <c r="I28" s="12"/>
    </row>
    <row r="29" spans="2:13" ht="24.75" customHeight="1">
      <c r="B29" s="57"/>
      <c r="C29" s="56"/>
      <c r="D29" s="60" t="s">
        <v>43</v>
      </c>
      <c r="E29" s="126">
        <v>46010</v>
      </c>
      <c r="F29" s="124"/>
      <c r="G29" s="124"/>
      <c r="H29" s="125"/>
      <c r="I29" s="53"/>
    </row>
    <row r="30" spans="2:13" ht="24.75" customHeight="1">
      <c r="B30" s="57"/>
      <c r="C30" s="56"/>
      <c r="D30" s="65" t="s">
        <v>44</v>
      </c>
      <c r="E30" s="61"/>
      <c r="F30" s="67"/>
      <c r="G30" s="45"/>
      <c r="H30" s="46"/>
      <c r="I30" s="73" t="s">
        <v>45</v>
      </c>
    </row>
    <row r="31" spans="2:13" ht="24.75" customHeight="1">
      <c r="B31" s="57"/>
      <c r="C31" s="56"/>
      <c r="D31" s="62" t="s">
        <v>46</v>
      </c>
      <c r="E31" s="68" t="s">
        <v>35</v>
      </c>
      <c r="F31" s="67"/>
      <c r="G31" s="45"/>
      <c r="H31" s="44">
        <f>H30</f>
        <v>0</v>
      </c>
      <c r="I31" s="74" t="s">
        <v>40</v>
      </c>
    </row>
    <row r="32" spans="2:13" ht="24.75" customHeight="1">
      <c r="B32" s="57"/>
      <c r="C32" s="56"/>
      <c r="D32" s="62"/>
      <c r="E32" s="68" t="s">
        <v>36</v>
      </c>
      <c r="F32" s="67"/>
      <c r="G32" s="45"/>
      <c r="H32" s="45">
        <v>0</v>
      </c>
      <c r="I32" s="74" t="s">
        <v>40</v>
      </c>
    </row>
    <row r="33" spans="2:10" ht="24.75" customHeight="1">
      <c r="B33" s="57"/>
      <c r="C33" s="56"/>
      <c r="D33" s="62"/>
      <c r="E33" s="66" t="s">
        <v>37</v>
      </c>
      <c r="F33" s="69"/>
      <c r="G33" s="43"/>
      <c r="H33" s="59">
        <v>10000</v>
      </c>
      <c r="I33" s="74" t="s">
        <v>40</v>
      </c>
    </row>
    <row r="34" spans="2:10" ht="24">
      <c r="B34" s="57"/>
      <c r="C34" s="56"/>
      <c r="D34" s="42"/>
      <c r="E34" s="38"/>
      <c r="F34" s="38"/>
      <c r="G34" s="63" t="s">
        <v>47</v>
      </c>
      <c r="H34" s="70">
        <f>SUM(H31-H32+H33)</f>
        <v>10000</v>
      </c>
      <c r="I34" s="74" t="s">
        <v>40</v>
      </c>
    </row>
    <row r="35" spans="2:10" ht="24">
      <c r="B35" s="57"/>
      <c r="C35" s="56"/>
      <c r="D35" s="12"/>
      <c r="E35" s="12"/>
      <c r="F35" s="12"/>
      <c r="G35" s="12"/>
      <c r="H35" s="12"/>
      <c r="I35" s="53"/>
    </row>
    <row r="36" spans="2:10" ht="24">
      <c r="B36" s="57"/>
      <c r="C36" s="56"/>
      <c r="D36" s="12"/>
      <c r="E36" s="12"/>
      <c r="F36" s="12"/>
      <c r="G36" s="12"/>
      <c r="H36" s="12"/>
      <c r="I36" s="12"/>
    </row>
    <row r="37" spans="2:10" ht="24">
      <c r="B37" s="57"/>
      <c r="C37" s="56"/>
      <c r="D37" s="12"/>
      <c r="E37" s="12"/>
      <c r="F37" s="12"/>
      <c r="G37" s="12"/>
      <c r="H37" s="12"/>
      <c r="I37" s="12"/>
    </row>
    <row r="38" spans="2:10" ht="24">
      <c r="B38" s="57"/>
      <c r="C38" s="56"/>
      <c r="D38" s="12"/>
      <c r="E38" s="12"/>
      <c r="F38" s="12"/>
      <c r="G38" s="12"/>
      <c r="H38" s="12"/>
      <c r="I38" s="54"/>
    </row>
    <row r="39" spans="2:10" s="11" customFormat="1" ht="20.25" customHeight="1">
      <c r="B39" s="57"/>
      <c r="C39" s="58"/>
      <c r="D39" s="12"/>
      <c r="E39" s="12"/>
      <c r="F39" s="12"/>
      <c r="G39" s="12"/>
      <c r="H39" s="12"/>
      <c r="I39" s="12"/>
      <c r="J39" s="18"/>
    </row>
    <row r="40" spans="2:10" s="11" customFormat="1" ht="20.25" customHeight="1">
      <c r="B40" s="57"/>
      <c r="C40" s="58"/>
      <c r="D40" s="12"/>
      <c r="E40" s="12"/>
      <c r="F40" s="12"/>
      <c r="G40" s="12"/>
      <c r="H40" s="12"/>
      <c r="I40" s="12"/>
    </row>
    <row r="41" spans="2:10" s="11" customFormat="1" ht="20.25" customHeight="1">
      <c r="B41" s="57"/>
      <c r="C41" s="58"/>
      <c r="D41" s="12"/>
      <c r="E41" s="12"/>
      <c r="F41" s="12"/>
      <c r="G41" s="12"/>
      <c r="H41" s="12"/>
      <c r="I41" s="12"/>
    </row>
    <row r="42" spans="2:10" s="11" customFormat="1" ht="20.25" customHeight="1">
      <c r="B42" s="57"/>
      <c r="C42" s="58"/>
      <c r="D42" s="12"/>
      <c r="E42" s="12"/>
      <c r="F42" s="12"/>
      <c r="G42" s="12"/>
      <c r="H42" s="12"/>
      <c r="I42" s="12"/>
    </row>
    <row r="43" spans="2:10" ht="24">
      <c r="B43" s="1"/>
      <c r="C43" s="1"/>
      <c r="D43" s="1"/>
      <c r="E43" s="1"/>
      <c r="F43" s="1"/>
      <c r="G43" s="12"/>
      <c r="H43" s="1"/>
      <c r="I43" s="12"/>
    </row>
    <row r="44" spans="2:10" ht="24">
      <c r="B44" s="12"/>
      <c r="C44" s="12"/>
      <c r="D44" s="12"/>
      <c r="E44" s="12"/>
      <c r="F44" s="12"/>
      <c r="G44" s="12"/>
      <c r="H44" s="12"/>
      <c r="I44" s="41"/>
    </row>
    <row r="45" spans="2:10" ht="24">
      <c r="B45" s="12"/>
      <c r="C45" s="12"/>
      <c r="D45" s="12"/>
      <c r="E45" s="12"/>
      <c r="F45" s="39"/>
      <c r="G45" s="39"/>
      <c r="H45" s="40"/>
      <c r="I45" s="39"/>
    </row>
  </sheetData>
  <mergeCells count="9">
    <mergeCell ref="E27:H27"/>
    <mergeCell ref="E29:H29"/>
    <mergeCell ref="E28:H28"/>
    <mergeCell ref="I2:J2"/>
    <mergeCell ref="B6:D6"/>
    <mergeCell ref="G15:G16"/>
    <mergeCell ref="H16:J16"/>
    <mergeCell ref="H17:J17"/>
    <mergeCell ref="B22:I23"/>
  </mergeCells>
  <phoneticPr fontId="7"/>
  <dataValidations count="1">
    <dataValidation allowBlank="1" showInputMessage="1" showErrorMessage="1" sqref="H2" xr:uid="{6811C59F-9EAA-6C47-AF99-D256E7F43072}"/>
  </dataValidations>
  <pageMargins left="0.7" right="0.7" top="0.75" bottom="0.75" header="0.3" footer="0.3"/>
  <pageSetup paperSize="9" scale="77"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43BAA-0DD4-9143-BA80-A66F03F6AF30}">
  <sheetPr>
    <tabColor theme="7"/>
    <pageSetUpPr fitToPage="1"/>
  </sheetPr>
  <dimension ref="B1:M45"/>
  <sheetViews>
    <sheetView topLeftCell="A15" zoomScaleNormal="100" workbookViewId="0">
      <selection activeCell="L33" sqref="L33"/>
    </sheetView>
  </sheetViews>
  <sheetFormatPr baseColWidth="10" defaultColWidth="8.83203125" defaultRowHeight="18"/>
  <cols>
    <col min="1" max="1" width="8.1640625" customWidth="1"/>
    <col min="2" max="2" width="4.33203125" customWidth="1"/>
    <col min="3" max="3" width="8.5" customWidth="1"/>
    <col min="4" max="4" width="17.1640625" customWidth="1"/>
    <col min="5" max="5" width="13.6640625" customWidth="1"/>
    <col min="6" max="6" width="17.1640625" customWidth="1"/>
    <col min="7" max="7" width="13.6640625" customWidth="1"/>
    <col min="8" max="8" width="17.1640625" customWidth="1"/>
    <col min="9" max="9" width="6.5" customWidth="1"/>
    <col min="10" max="10" width="6.6640625" customWidth="1"/>
    <col min="11" max="11" width="11.1640625" customWidth="1"/>
    <col min="12" max="12" width="6.6640625" customWidth="1"/>
    <col min="13" max="13" width="15.83203125" customWidth="1"/>
    <col min="14" max="14" width="17.6640625" customWidth="1"/>
    <col min="15" max="15" width="18.1640625" customWidth="1"/>
  </cols>
  <sheetData>
    <row r="1" spans="2:13">
      <c r="I1" s="10"/>
    </row>
    <row r="2" spans="2:13" ht="24">
      <c r="B2" s="1"/>
      <c r="G2" s="87"/>
      <c r="H2" s="88"/>
      <c r="I2" s="130"/>
      <c r="J2" s="130"/>
    </row>
    <row r="3" spans="2:13" ht="24" customHeight="1">
      <c r="B3" s="76"/>
      <c r="C3" s="76"/>
      <c r="D3" s="76"/>
      <c r="E3" s="76"/>
      <c r="G3" s="87"/>
      <c r="H3" s="88"/>
      <c r="I3" s="88"/>
    </row>
    <row r="4" spans="2:13" ht="18.75" customHeight="1">
      <c r="B4" s="76"/>
      <c r="C4" s="76"/>
      <c r="D4" s="76"/>
      <c r="E4" s="76"/>
    </row>
    <row r="5" spans="2:13" ht="24">
      <c r="B5" s="33"/>
      <c r="C5" s="33"/>
      <c r="D5" s="33"/>
    </row>
    <row r="6" spans="2:13" ht="45">
      <c r="B6" s="131"/>
      <c r="C6" s="131"/>
      <c r="D6" s="131"/>
      <c r="E6" s="1"/>
      <c r="F6" s="86" t="s">
        <v>137</v>
      </c>
    </row>
    <row r="7" spans="2:13" ht="24">
      <c r="B7" s="1" t="s">
        <v>20</v>
      </c>
      <c r="C7" s="12"/>
      <c r="D7" s="90">
        <v>2000008363</v>
      </c>
      <c r="E7" s="13"/>
    </row>
    <row r="8" spans="2:13" ht="24">
      <c r="B8" s="12" t="s">
        <v>21</v>
      </c>
      <c r="C8" s="12"/>
      <c r="D8" s="12" t="str">
        <f>受給者情報!C29</f>
        <v>加藤大輔</v>
      </c>
      <c r="E8" t="s">
        <v>41</v>
      </c>
    </row>
    <row r="12" spans="2:13" ht="31">
      <c r="E12" s="52" t="s">
        <v>22</v>
      </c>
      <c r="F12" s="52"/>
      <c r="G12" s="52"/>
    </row>
    <row r="13" spans="2:13" ht="24">
      <c r="I13" s="14"/>
      <c r="M13" s="37"/>
    </row>
    <row r="14" spans="2:13">
      <c r="M14" s="37"/>
    </row>
    <row r="15" spans="2:13" ht="24" customHeight="1">
      <c r="G15" s="132" t="s">
        <v>23</v>
      </c>
      <c r="H15" s="49" t="s">
        <v>24</v>
      </c>
      <c r="I15" s="49"/>
      <c r="M15" s="37"/>
    </row>
    <row r="16" spans="2:13" ht="24" customHeight="1">
      <c r="G16" s="132"/>
      <c r="H16" s="133" t="s">
        <v>25</v>
      </c>
      <c r="I16" s="133"/>
      <c r="J16" s="133"/>
      <c r="M16" s="37"/>
    </row>
    <row r="17" spans="2:13" ht="40.5" customHeight="1">
      <c r="G17" s="50"/>
      <c r="H17" s="133" t="s">
        <v>27</v>
      </c>
      <c r="I17" s="133"/>
      <c r="J17" s="133"/>
      <c r="M17" s="37"/>
    </row>
    <row r="18" spans="2:13">
      <c r="G18" s="51" t="s">
        <v>28</v>
      </c>
      <c r="H18" s="51" t="str">
        <f>事業者情報!C5&amp;"　"&amp;事業者情報!C6</f>
        <v>代表取締役社長　澤田昌志</v>
      </c>
      <c r="M18" s="37"/>
    </row>
    <row r="19" spans="2:13">
      <c r="G19" s="51" t="s">
        <v>29</v>
      </c>
      <c r="H19" s="51" t="str">
        <f>事業者情報!C7&amp;""</f>
        <v>0566-63-6817</v>
      </c>
      <c r="M19" s="37"/>
    </row>
    <row r="20" spans="2:13">
      <c r="G20" s="51" t="s">
        <v>30</v>
      </c>
      <c r="H20" s="51" t="str">
        <f>事業者情報!C8&amp;""</f>
        <v>0566-63-6818</v>
      </c>
      <c r="M20" s="37"/>
    </row>
    <row r="21" spans="2:13">
      <c r="M21" s="37"/>
    </row>
    <row r="22" spans="2:13" ht="24" customHeight="1">
      <c r="B22" s="134" t="s">
        <v>135</v>
      </c>
      <c r="C22" s="134"/>
      <c r="D22" s="134"/>
      <c r="E22" s="134"/>
      <c r="F22" s="134"/>
      <c r="G22" s="134"/>
      <c r="H22" s="134"/>
      <c r="I22" s="134"/>
      <c r="M22" s="37"/>
    </row>
    <row r="23" spans="2:13" ht="24" customHeight="1">
      <c r="B23" s="134"/>
      <c r="C23" s="134"/>
      <c r="D23" s="134"/>
      <c r="E23" s="134"/>
      <c r="F23" s="134"/>
      <c r="G23" s="134"/>
      <c r="H23" s="134"/>
      <c r="I23" s="134"/>
      <c r="M23" s="37"/>
    </row>
    <row r="25" spans="2:13" ht="27">
      <c r="C25" s="98">
        <v>10</v>
      </c>
      <c r="D25" s="98" t="s">
        <v>173</v>
      </c>
      <c r="E25" s="71" t="s">
        <v>32</v>
      </c>
      <c r="F25" s="72">
        <f>H34</f>
        <v>10000</v>
      </c>
      <c r="G25" s="16" t="s">
        <v>33</v>
      </c>
    </row>
    <row r="27" spans="2:13" ht="24.75" customHeight="1">
      <c r="B27" s="55"/>
      <c r="C27" s="56"/>
      <c r="D27" s="64" t="s">
        <v>42</v>
      </c>
      <c r="E27" s="136" t="s">
        <v>148</v>
      </c>
      <c r="F27" s="124"/>
      <c r="G27" s="124"/>
      <c r="H27" s="125"/>
      <c r="I27" s="12"/>
    </row>
    <row r="28" spans="2:13" ht="24.75" customHeight="1">
      <c r="B28" s="55"/>
      <c r="C28" s="56"/>
      <c r="D28" s="60" t="s">
        <v>139</v>
      </c>
      <c r="E28" s="137" t="s">
        <v>140</v>
      </c>
      <c r="F28" s="124"/>
      <c r="G28" s="124"/>
      <c r="H28" s="125"/>
      <c r="I28" s="12"/>
    </row>
    <row r="29" spans="2:13" ht="24.75" customHeight="1">
      <c r="B29" s="57"/>
      <c r="C29" s="56"/>
      <c r="D29" s="60" t="s">
        <v>43</v>
      </c>
      <c r="E29" s="126">
        <v>46010</v>
      </c>
      <c r="F29" s="124"/>
      <c r="G29" s="124"/>
      <c r="H29" s="125"/>
      <c r="I29" s="53"/>
    </row>
    <row r="30" spans="2:13" ht="24.75" customHeight="1">
      <c r="B30" s="57"/>
      <c r="C30" s="56"/>
      <c r="D30" s="65" t="s">
        <v>44</v>
      </c>
      <c r="E30" s="61"/>
      <c r="F30" s="67"/>
      <c r="G30" s="45"/>
      <c r="H30" s="46"/>
      <c r="I30" s="73" t="s">
        <v>45</v>
      </c>
    </row>
    <row r="31" spans="2:13" ht="24.75" customHeight="1">
      <c r="B31" s="57"/>
      <c r="C31" s="56"/>
      <c r="D31" s="62" t="s">
        <v>46</v>
      </c>
      <c r="E31" s="68" t="s">
        <v>35</v>
      </c>
      <c r="F31" s="67"/>
      <c r="G31" s="45"/>
      <c r="H31" s="44">
        <f>H30</f>
        <v>0</v>
      </c>
      <c r="I31" s="74" t="s">
        <v>40</v>
      </c>
    </row>
    <row r="32" spans="2:13" ht="24.75" customHeight="1">
      <c r="B32" s="57"/>
      <c r="C32" s="56"/>
      <c r="D32" s="62"/>
      <c r="E32" s="68" t="s">
        <v>36</v>
      </c>
      <c r="F32" s="67"/>
      <c r="G32" s="45"/>
      <c r="H32" s="45">
        <v>0</v>
      </c>
      <c r="I32" s="74" t="s">
        <v>40</v>
      </c>
    </row>
    <row r="33" spans="2:10" ht="24.75" customHeight="1">
      <c r="B33" s="57"/>
      <c r="C33" s="56"/>
      <c r="D33" s="62"/>
      <c r="E33" s="66" t="s">
        <v>37</v>
      </c>
      <c r="F33" s="69"/>
      <c r="G33" s="43"/>
      <c r="H33" s="59">
        <v>10000</v>
      </c>
      <c r="I33" s="74" t="s">
        <v>40</v>
      </c>
    </row>
    <row r="34" spans="2:10" ht="24">
      <c r="B34" s="57"/>
      <c r="C34" s="56"/>
      <c r="D34" s="42"/>
      <c r="E34" s="38"/>
      <c r="F34" s="38"/>
      <c r="G34" s="63" t="s">
        <v>47</v>
      </c>
      <c r="H34" s="70">
        <f>SUM(H31-H32+H33)</f>
        <v>10000</v>
      </c>
      <c r="I34" s="74" t="s">
        <v>40</v>
      </c>
    </row>
    <row r="35" spans="2:10" ht="24">
      <c r="B35" s="57"/>
      <c r="C35" s="56"/>
      <c r="D35" s="12"/>
      <c r="E35" s="12"/>
      <c r="F35" s="12"/>
      <c r="G35" s="12"/>
      <c r="H35" s="12"/>
      <c r="I35" s="53"/>
    </row>
    <row r="36" spans="2:10" ht="24">
      <c r="B36" s="57"/>
      <c r="C36" s="56"/>
      <c r="D36" s="12"/>
      <c r="E36" s="12"/>
      <c r="F36" s="12"/>
      <c r="G36" s="12"/>
      <c r="H36" s="12"/>
      <c r="I36" s="12"/>
    </row>
    <row r="37" spans="2:10" ht="24">
      <c r="B37" s="57"/>
      <c r="C37" s="56"/>
      <c r="D37" s="12"/>
      <c r="E37" s="12"/>
      <c r="F37" s="12"/>
      <c r="G37" s="12"/>
      <c r="H37" s="12"/>
      <c r="I37" s="12"/>
    </row>
    <row r="38" spans="2:10" ht="24">
      <c r="B38" s="57"/>
      <c r="C38" s="56"/>
      <c r="D38" s="12"/>
      <c r="E38" s="12"/>
      <c r="F38" s="12"/>
      <c r="G38" s="12"/>
      <c r="H38" s="12"/>
      <c r="I38" s="54"/>
    </row>
    <row r="39" spans="2:10" s="11" customFormat="1" ht="20.25" customHeight="1">
      <c r="B39" s="57"/>
      <c r="C39" s="58"/>
      <c r="D39" s="12"/>
      <c r="E39" s="12"/>
      <c r="F39" s="12"/>
      <c r="G39" s="12"/>
      <c r="H39" s="12"/>
      <c r="I39" s="12"/>
      <c r="J39" s="18"/>
    </row>
    <row r="40" spans="2:10" s="11" customFormat="1" ht="20.25" customHeight="1">
      <c r="B40" s="57"/>
      <c r="C40" s="58"/>
      <c r="D40" s="12"/>
      <c r="E40" s="12"/>
      <c r="F40" s="12"/>
      <c r="G40" s="12"/>
      <c r="H40" s="12"/>
      <c r="I40" s="12"/>
    </row>
    <row r="41" spans="2:10" s="11" customFormat="1" ht="20.25" customHeight="1">
      <c r="B41" s="57"/>
      <c r="C41" s="58"/>
      <c r="D41" s="12"/>
      <c r="E41" s="12"/>
      <c r="F41" s="12"/>
      <c r="G41" s="12"/>
      <c r="H41" s="12"/>
      <c r="I41" s="12"/>
    </row>
    <row r="42" spans="2:10" s="11" customFormat="1" ht="20.25" customHeight="1">
      <c r="B42" s="57"/>
      <c r="C42" s="58"/>
      <c r="D42" s="12"/>
      <c r="E42" s="12"/>
      <c r="F42" s="12"/>
      <c r="G42" s="12"/>
      <c r="H42" s="12"/>
      <c r="I42" s="12"/>
    </row>
    <row r="43" spans="2:10" ht="24">
      <c r="B43" s="1"/>
      <c r="C43" s="1"/>
      <c r="D43" s="1"/>
      <c r="E43" s="1"/>
      <c r="F43" s="1"/>
      <c r="G43" s="12"/>
      <c r="H43" s="1"/>
      <c r="I43" s="12"/>
    </row>
    <row r="44" spans="2:10" ht="24">
      <c r="B44" s="12"/>
      <c r="C44" s="12"/>
      <c r="D44" s="12"/>
      <c r="E44" s="12"/>
      <c r="F44" s="12"/>
      <c r="G44" s="12"/>
      <c r="H44" s="12"/>
      <c r="I44" s="41"/>
    </row>
    <row r="45" spans="2:10" ht="24">
      <c r="B45" s="12"/>
      <c r="C45" s="12"/>
      <c r="D45" s="12"/>
      <c r="E45" s="12"/>
      <c r="F45" s="39"/>
      <c r="G45" s="39"/>
      <c r="H45" s="40"/>
      <c r="I45" s="39"/>
    </row>
  </sheetData>
  <mergeCells count="9">
    <mergeCell ref="E27:H27"/>
    <mergeCell ref="E29:H29"/>
    <mergeCell ref="E28:H28"/>
    <mergeCell ref="I2:J2"/>
    <mergeCell ref="B6:D6"/>
    <mergeCell ref="G15:G16"/>
    <mergeCell ref="H16:J16"/>
    <mergeCell ref="H17:J17"/>
    <mergeCell ref="B22:I23"/>
  </mergeCells>
  <phoneticPr fontId="7"/>
  <dataValidations count="1">
    <dataValidation allowBlank="1" showInputMessage="1" showErrorMessage="1" sqref="H2" xr:uid="{6B550DDA-D685-5840-B799-05B76D6467D8}"/>
  </dataValidations>
  <pageMargins left="0.7" right="0.7" top="0.75" bottom="0.75" header="0.3" footer="0.3"/>
  <pageSetup paperSize="9" scale="77"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854D6-880C-9D41-B280-ED42C7B0417F}">
  <sheetPr codeName="Sheet43">
    <tabColor theme="4"/>
    <pageSetUpPr fitToPage="1"/>
  </sheetPr>
  <dimension ref="B1:M45"/>
  <sheetViews>
    <sheetView topLeftCell="A14" zoomScaleNormal="100" workbookViewId="0">
      <selection activeCell="L33" sqref="L33"/>
    </sheetView>
  </sheetViews>
  <sheetFormatPr baseColWidth="10" defaultColWidth="8.83203125" defaultRowHeight="18"/>
  <cols>
    <col min="1" max="1" width="8.1640625" customWidth="1"/>
    <col min="2" max="2" width="4.33203125" customWidth="1"/>
    <col min="3" max="3" width="8.5" customWidth="1"/>
    <col min="4" max="4" width="17.1640625" customWidth="1"/>
    <col min="5" max="5" width="13.6640625" customWidth="1"/>
    <col min="6" max="6" width="17.1640625" customWidth="1"/>
    <col min="7" max="7" width="13.6640625" customWidth="1"/>
    <col min="8" max="8" width="17.1640625" customWidth="1"/>
    <col min="9" max="9" width="6.5" customWidth="1"/>
    <col min="10" max="10" width="6.6640625" customWidth="1"/>
    <col min="11" max="11" width="11.1640625" customWidth="1"/>
    <col min="12" max="12" width="6.6640625" customWidth="1"/>
    <col min="13" max="13" width="15.83203125" customWidth="1"/>
    <col min="14" max="14" width="17.6640625" customWidth="1"/>
    <col min="15" max="15" width="18.1640625" customWidth="1"/>
  </cols>
  <sheetData>
    <row r="1" spans="2:13">
      <c r="I1" s="10"/>
    </row>
    <row r="2" spans="2:13" ht="24">
      <c r="B2" s="1"/>
      <c r="G2" s="87"/>
      <c r="H2" s="88"/>
      <c r="I2" s="130"/>
      <c r="J2" s="130"/>
    </row>
    <row r="3" spans="2:13" ht="24" customHeight="1">
      <c r="B3" s="76"/>
      <c r="C3" s="76"/>
      <c r="D3" s="76"/>
      <c r="E3" s="76"/>
      <c r="G3" s="87"/>
      <c r="H3" s="88"/>
      <c r="I3" s="88"/>
    </row>
    <row r="4" spans="2:13" ht="18.75" customHeight="1">
      <c r="B4" s="76"/>
      <c r="C4" s="76"/>
      <c r="D4" s="76"/>
      <c r="E4" s="76"/>
    </row>
    <row r="5" spans="2:13" ht="24">
      <c r="B5" s="33"/>
      <c r="C5" s="33"/>
      <c r="D5" s="33"/>
    </row>
    <row r="6" spans="2:13" ht="45">
      <c r="B6" s="131"/>
      <c r="C6" s="131"/>
      <c r="D6" s="131"/>
      <c r="E6" s="1"/>
      <c r="F6" s="86" t="s">
        <v>137</v>
      </c>
    </row>
    <row r="7" spans="2:13" ht="24">
      <c r="B7" s="1" t="s">
        <v>20</v>
      </c>
      <c r="C7" s="12"/>
      <c r="D7" s="90" t="s">
        <v>165</v>
      </c>
      <c r="E7" s="13"/>
    </row>
    <row r="8" spans="2:13" ht="24">
      <c r="B8" s="12" t="s">
        <v>21</v>
      </c>
      <c r="C8" s="12"/>
      <c r="D8" s="12" t="str">
        <f>受給者情報!G3</f>
        <v>花井聡香</v>
      </c>
      <c r="E8" t="s">
        <v>41</v>
      </c>
    </row>
    <row r="12" spans="2:13" ht="31">
      <c r="E12" s="52" t="s">
        <v>22</v>
      </c>
      <c r="F12" s="52"/>
      <c r="G12" s="52"/>
    </row>
    <row r="13" spans="2:13" ht="24">
      <c r="I13" s="14"/>
      <c r="M13" s="37"/>
    </row>
    <row r="14" spans="2:13">
      <c r="M14" s="37"/>
    </row>
    <row r="15" spans="2:13" ht="24" customHeight="1">
      <c r="G15" s="132" t="s">
        <v>23</v>
      </c>
      <c r="H15" s="49" t="s">
        <v>24</v>
      </c>
      <c r="I15" s="49"/>
      <c r="M15" s="37"/>
    </row>
    <row r="16" spans="2:13" ht="24" customHeight="1">
      <c r="G16" s="132"/>
      <c r="H16" s="133" t="s">
        <v>25</v>
      </c>
      <c r="I16" s="133"/>
      <c r="J16" s="133"/>
      <c r="M16" s="37"/>
    </row>
    <row r="17" spans="2:13" ht="40.5" customHeight="1">
      <c r="G17" s="50"/>
      <c r="H17" s="133" t="s">
        <v>27</v>
      </c>
      <c r="I17" s="133"/>
      <c r="J17" s="133"/>
      <c r="M17" s="37"/>
    </row>
    <row r="18" spans="2:13">
      <c r="G18" s="51" t="s">
        <v>28</v>
      </c>
      <c r="H18" s="51" t="str">
        <f>事業者情報!C5&amp;"　"&amp;事業者情報!C6</f>
        <v>代表取締役社長　澤田昌志</v>
      </c>
      <c r="M18" s="37"/>
    </row>
    <row r="19" spans="2:13">
      <c r="G19" s="51" t="s">
        <v>29</v>
      </c>
      <c r="H19" s="51" t="str">
        <f>事業者情報!C7&amp;""</f>
        <v>0566-63-6817</v>
      </c>
      <c r="M19" s="37"/>
    </row>
    <row r="20" spans="2:13">
      <c r="G20" s="51" t="s">
        <v>30</v>
      </c>
      <c r="H20" s="51" t="str">
        <f>事業者情報!C8&amp;""</f>
        <v>0566-63-6818</v>
      </c>
      <c r="M20" s="37"/>
    </row>
    <row r="21" spans="2:13">
      <c r="M21" s="37"/>
    </row>
    <row r="22" spans="2:13" ht="24" customHeight="1">
      <c r="B22" s="134" t="s">
        <v>135</v>
      </c>
      <c r="C22" s="134"/>
      <c r="D22" s="134"/>
      <c r="E22" s="134"/>
      <c r="F22" s="134"/>
      <c r="G22" s="134"/>
      <c r="H22" s="134"/>
      <c r="I22" s="134"/>
      <c r="M22" s="37"/>
    </row>
    <row r="23" spans="2:13" ht="24" customHeight="1">
      <c r="B23" s="134"/>
      <c r="C23" s="134"/>
      <c r="D23" s="134"/>
      <c r="E23" s="134"/>
      <c r="F23" s="134"/>
      <c r="G23" s="134"/>
      <c r="H23" s="134"/>
      <c r="I23" s="134"/>
      <c r="M23" s="37"/>
    </row>
    <row r="25" spans="2:13" ht="27">
      <c r="C25" s="98">
        <v>10</v>
      </c>
      <c r="D25" s="98" t="s">
        <v>173</v>
      </c>
      <c r="E25" s="71" t="s">
        <v>32</v>
      </c>
      <c r="F25" s="72">
        <f>H34</f>
        <v>0</v>
      </c>
      <c r="G25" s="16" t="s">
        <v>33</v>
      </c>
    </row>
    <row r="27" spans="2:13" ht="24.75" customHeight="1">
      <c r="B27" s="55"/>
      <c r="C27" s="56"/>
      <c r="D27" s="64" t="s">
        <v>42</v>
      </c>
      <c r="E27" s="136" t="s">
        <v>133</v>
      </c>
      <c r="F27" s="124"/>
      <c r="G27" s="124"/>
      <c r="H27" s="125"/>
      <c r="I27" s="12"/>
    </row>
    <row r="28" spans="2:13" ht="24.75" customHeight="1">
      <c r="B28" s="55"/>
      <c r="C28" s="56"/>
      <c r="D28" s="60" t="s">
        <v>139</v>
      </c>
      <c r="E28" s="137" t="s">
        <v>104</v>
      </c>
      <c r="F28" s="124"/>
      <c r="G28" s="124"/>
      <c r="H28" s="125"/>
      <c r="I28" s="12"/>
    </row>
    <row r="29" spans="2:13" ht="24.75" customHeight="1">
      <c r="B29" s="57"/>
      <c r="C29" s="56"/>
      <c r="D29" s="60" t="s">
        <v>43</v>
      </c>
      <c r="E29" s="126">
        <v>46010</v>
      </c>
      <c r="F29" s="124"/>
      <c r="G29" s="124"/>
      <c r="H29" s="125"/>
      <c r="I29" s="53"/>
    </row>
    <row r="30" spans="2:13" ht="24.75" customHeight="1">
      <c r="B30" s="57"/>
      <c r="C30" s="56"/>
      <c r="D30" s="65" t="s">
        <v>44</v>
      </c>
      <c r="E30" s="61"/>
      <c r="F30" s="67"/>
      <c r="G30" s="45"/>
      <c r="H30" s="104"/>
      <c r="I30" s="73" t="s">
        <v>45</v>
      </c>
    </row>
    <row r="31" spans="2:13" ht="24.75" customHeight="1">
      <c r="B31" s="57"/>
      <c r="C31" s="56"/>
      <c r="D31" s="62" t="s">
        <v>46</v>
      </c>
      <c r="E31" s="68" t="s">
        <v>35</v>
      </c>
      <c r="F31" s="67"/>
      <c r="G31" s="45"/>
      <c r="H31" s="101">
        <f>H30</f>
        <v>0</v>
      </c>
      <c r="I31" s="74" t="s">
        <v>40</v>
      </c>
    </row>
    <row r="32" spans="2:13" ht="24.75" customHeight="1">
      <c r="B32" s="57"/>
      <c r="C32" s="56"/>
      <c r="D32" s="62"/>
      <c r="E32" s="68" t="s">
        <v>36</v>
      </c>
      <c r="F32" s="67"/>
      <c r="G32" s="45"/>
      <c r="H32" s="102">
        <v>0</v>
      </c>
      <c r="I32" s="74" t="s">
        <v>40</v>
      </c>
    </row>
    <row r="33" spans="2:10" ht="24.75" customHeight="1">
      <c r="B33" s="57"/>
      <c r="C33" s="56"/>
      <c r="D33" s="62"/>
      <c r="E33" s="66" t="s">
        <v>37</v>
      </c>
      <c r="F33" s="69"/>
      <c r="G33" s="43"/>
      <c r="H33" s="103">
        <v>0</v>
      </c>
      <c r="I33" s="74" t="s">
        <v>40</v>
      </c>
    </row>
    <row r="34" spans="2:10" ht="24">
      <c r="B34" s="57"/>
      <c r="C34" s="56"/>
      <c r="D34" s="42"/>
      <c r="E34" s="38"/>
      <c r="F34" s="38"/>
      <c r="G34" s="63" t="s">
        <v>47</v>
      </c>
      <c r="H34" s="96">
        <f>SUM(H31-H32+H33)</f>
        <v>0</v>
      </c>
      <c r="I34" s="74" t="s">
        <v>40</v>
      </c>
    </row>
    <row r="35" spans="2:10" ht="24">
      <c r="B35" s="57"/>
      <c r="C35" s="56"/>
      <c r="D35" s="12"/>
      <c r="E35" s="12"/>
      <c r="F35" s="12"/>
      <c r="G35" s="12"/>
      <c r="H35" s="105"/>
      <c r="I35" s="53"/>
    </row>
    <row r="36" spans="2:10" ht="24">
      <c r="B36" s="57"/>
      <c r="C36" s="56"/>
      <c r="D36" s="12"/>
      <c r="E36" s="12"/>
      <c r="F36" s="12"/>
      <c r="G36" s="12"/>
      <c r="H36" s="105"/>
      <c r="I36" s="12"/>
    </row>
    <row r="37" spans="2:10" ht="24">
      <c r="B37" s="57"/>
      <c r="C37" s="56"/>
      <c r="D37" s="12"/>
      <c r="E37" s="12"/>
      <c r="F37" s="12"/>
      <c r="G37" s="12"/>
      <c r="H37" s="12"/>
      <c r="I37" s="12"/>
    </row>
    <row r="38" spans="2:10" ht="24">
      <c r="B38" s="57"/>
      <c r="C38" s="56"/>
      <c r="D38" s="12"/>
      <c r="E38" s="12"/>
      <c r="F38" s="12"/>
      <c r="G38" s="12"/>
      <c r="H38" s="12"/>
      <c r="I38" s="54"/>
    </row>
    <row r="39" spans="2:10" s="11" customFormat="1" ht="20.25" customHeight="1">
      <c r="B39" s="57"/>
      <c r="C39" s="58"/>
      <c r="D39" s="12"/>
      <c r="E39" s="12"/>
      <c r="F39" s="12"/>
      <c r="G39" s="12"/>
      <c r="H39" s="12"/>
      <c r="I39" s="12"/>
      <c r="J39" s="18"/>
    </row>
    <row r="40" spans="2:10" s="11" customFormat="1" ht="20.25" customHeight="1">
      <c r="B40" s="57"/>
      <c r="C40" s="58"/>
      <c r="D40" s="12"/>
      <c r="E40" s="12"/>
      <c r="F40" s="12"/>
      <c r="G40" s="12"/>
      <c r="H40" s="12"/>
      <c r="I40" s="12"/>
    </row>
    <row r="41" spans="2:10" s="11" customFormat="1" ht="20.25" customHeight="1">
      <c r="B41" s="57"/>
      <c r="C41" s="58"/>
      <c r="D41" s="12"/>
      <c r="E41" s="12"/>
      <c r="F41" s="12"/>
      <c r="G41" s="12"/>
      <c r="H41" s="12"/>
      <c r="I41" s="12"/>
    </row>
    <row r="42" spans="2:10" s="11" customFormat="1" ht="20.25" customHeight="1">
      <c r="B42" s="57"/>
      <c r="C42" s="58"/>
      <c r="D42" s="12"/>
      <c r="E42" s="12"/>
      <c r="F42" s="12"/>
      <c r="G42" s="12"/>
      <c r="H42" s="12"/>
      <c r="I42" s="12"/>
    </row>
    <row r="43" spans="2:10" ht="24">
      <c r="B43" s="1"/>
      <c r="C43" s="1"/>
      <c r="D43" s="1"/>
      <c r="E43" s="1"/>
      <c r="F43" s="1"/>
      <c r="G43" s="12"/>
      <c r="H43" s="1"/>
      <c r="I43" s="12"/>
    </row>
    <row r="44" spans="2:10" ht="24">
      <c r="B44" s="12"/>
      <c r="C44" s="12"/>
      <c r="D44" s="12"/>
      <c r="E44" s="12"/>
      <c r="F44" s="12"/>
      <c r="G44" s="12"/>
      <c r="H44" s="12"/>
      <c r="I44" s="41"/>
    </row>
    <row r="45" spans="2:10" ht="24">
      <c r="B45" s="12"/>
      <c r="C45" s="12"/>
      <c r="D45" s="12"/>
      <c r="E45" s="12"/>
      <c r="F45" s="39"/>
      <c r="G45" s="39"/>
      <c r="H45" s="40"/>
      <c r="I45" s="39"/>
    </row>
  </sheetData>
  <mergeCells count="9">
    <mergeCell ref="E27:H27"/>
    <mergeCell ref="E29:H29"/>
    <mergeCell ref="I2:J2"/>
    <mergeCell ref="B6:D6"/>
    <mergeCell ref="G15:G16"/>
    <mergeCell ref="H16:J16"/>
    <mergeCell ref="H17:J17"/>
    <mergeCell ref="B22:I23"/>
    <mergeCell ref="E28:H28"/>
  </mergeCells>
  <phoneticPr fontId="7"/>
  <dataValidations count="1">
    <dataValidation allowBlank="1" showInputMessage="1" showErrorMessage="1" sqref="H2" xr:uid="{14C6A18C-E1CA-3B48-B8E0-D48622A909B2}"/>
  </dataValidations>
  <pageMargins left="0.7" right="0.7" top="0.75" bottom="0.75" header="0.3" footer="0.3"/>
  <pageSetup paperSize="9" scale="77"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F5CE6-D702-2F43-A374-C50907B8CF85}">
  <sheetPr codeName="Sheet27">
    <tabColor theme="4"/>
    <pageSetUpPr fitToPage="1"/>
  </sheetPr>
  <dimension ref="B1:M45"/>
  <sheetViews>
    <sheetView topLeftCell="A17" zoomScaleNormal="100" workbookViewId="0">
      <selection activeCell="L33" sqref="L33"/>
    </sheetView>
  </sheetViews>
  <sheetFormatPr baseColWidth="10" defaultColWidth="8.83203125" defaultRowHeight="18"/>
  <cols>
    <col min="1" max="1" width="8.1640625" customWidth="1"/>
    <col min="2" max="2" width="4.33203125" customWidth="1"/>
    <col min="3" max="3" width="8.5" customWidth="1"/>
    <col min="4" max="4" width="17.1640625" customWidth="1"/>
    <col min="5" max="5" width="13.6640625" customWidth="1"/>
    <col min="6" max="6" width="17.1640625" customWidth="1"/>
    <col min="7" max="7" width="13.6640625" customWidth="1"/>
    <col min="8" max="8" width="17.1640625" customWidth="1"/>
    <col min="9" max="9" width="6.5" customWidth="1"/>
    <col min="10" max="10" width="6.6640625" customWidth="1"/>
    <col min="11" max="11" width="11.1640625" customWidth="1"/>
    <col min="12" max="12" width="6.6640625" customWidth="1"/>
    <col min="13" max="13" width="15.83203125" customWidth="1"/>
    <col min="14" max="14" width="17.6640625" customWidth="1"/>
    <col min="15" max="15" width="18.1640625" customWidth="1"/>
  </cols>
  <sheetData>
    <row r="1" spans="2:13">
      <c r="I1" s="10"/>
    </row>
    <row r="2" spans="2:13" ht="24">
      <c r="B2" s="1"/>
      <c r="G2" s="87"/>
      <c r="H2" s="88"/>
      <c r="I2" s="130"/>
      <c r="J2" s="130"/>
    </row>
    <row r="3" spans="2:13" ht="24" customHeight="1">
      <c r="B3" s="76"/>
      <c r="C3" s="76"/>
      <c r="D3" s="76"/>
      <c r="E3" s="76"/>
      <c r="G3" s="87"/>
      <c r="H3" s="88"/>
      <c r="I3" s="88"/>
    </row>
    <row r="4" spans="2:13" ht="18.75" customHeight="1">
      <c r="B4" s="76"/>
      <c r="C4" s="76"/>
      <c r="D4" s="76"/>
      <c r="E4" s="76"/>
    </row>
    <row r="5" spans="2:13" ht="24">
      <c r="B5" s="33"/>
      <c r="C5" s="33"/>
      <c r="D5" s="33"/>
    </row>
    <row r="6" spans="2:13" ht="45">
      <c r="B6" s="131"/>
      <c r="C6" s="131"/>
      <c r="D6" s="131"/>
      <c r="E6" s="1"/>
      <c r="F6" s="86" t="s">
        <v>137</v>
      </c>
    </row>
    <row r="7" spans="2:13" ht="24">
      <c r="B7" s="1" t="s">
        <v>20</v>
      </c>
      <c r="C7" s="12"/>
      <c r="D7" s="90">
        <v>2000009122</v>
      </c>
      <c r="E7" s="13"/>
    </row>
    <row r="8" spans="2:13" ht="24">
      <c r="B8" s="12" t="s">
        <v>21</v>
      </c>
      <c r="C8" s="12"/>
      <c r="D8" s="12" t="str">
        <f>受給者情報!G4</f>
        <v>安田佳奈</v>
      </c>
      <c r="E8" t="s">
        <v>41</v>
      </c>
    </row>
    <row r="12" spans="2:13" ht="31">
      <c r="E12" s="52" t="s">
        <v>22</v>
      </c>
      <c r="F12" s="52"/>
      <c r="G12" s="52"/>
    </row>
    <row r="13" spans="2:13" ht="24">
      <c r="I13" s="14"/>
      <c r="M13" s="37"/>
    </row>
    <row r="14" spans="2:13">
      <c r="M14" s="37"/>
    </row>
    <row r="15" spans="2:13" ht="24" customHeight="1">
      <c r="G15" s="132" t="s">
        <v>23</v>
      </c>
      <c r="H15" s="49" t="s">
        <v>24</v>
      </c>
      <c r="I15" s="49"/>
      <c r="M15" s="37"/>
    </row>
    <row r="16" spans="2:13" ht="24" customHeight="1">
      <c r="G16" s="132"/>
      <c r="H16" s="133" t="s">
        <v>25</v>
      </c>
      <c r="I16" s="133"/>
      <c r="J16" s="133"/>
      <c r="M16" s="37"/>
    </row>
    <row r="17" spans="2:13" ht="40.5" customHeight="1">
      <c r="G17" s="50"/>
      <c r="H17" s="133" t="s">
        <v>27</v>
      </c>
      <c r="I17" s="133"/>
      <c r="J17" s="133"/>
      <c r="M17" s="37"/>
    </row>
    <row r="18" spans="2:13">
      <c r="G18" s="51" t="s">
        <v>28</v>
      </c>
      <c r="H18" s="51" t="str">
        <f>事業者情報!C5&amp;"　"&amp;事業者情報!C6</f>
        <v>代表取締役社長　澤田昌志</v>
      </c>
      <c r="M18" s="37"/>
    </row>
    <row r="19" spans="2:13">
      <c r="G19" s="51" t="s">
        <v>29</v>
      </c>
      <c r="H19" s="51" t="str">
        <f>事業者情報!C7&amp;""</f>
        <v>0566-63-6817</v>
      </c>
      <c r="M19" s="37"/>
    </row>
    <row r="20" spans="2:13">
      <c r="G20" s="51" t="s">
        <v>30</v>
      </c>
      <c r="H20" s="51" t="str">
        <f>事業者情報!C8&amp;""</f>
        <v>0566-63-6818</v>
      </c>
      <c r="M20" s="37"/>
    </row>
    <row r="21" spans="2:13">
      <c r="M21" s="37"/>
    </row>
    <row r="22" spans="2:13" ht="24" customHeight="1">
      <c r="B22" s="134" t="s">
        <v>135</v>
      </c>
      <c r="C22" s="134"/>
      <c r="D22" s="134"/>
      <c r="E22" s="134"/>
      <c r="F22" s="134"/>
      <c r="G22" s="134"/>
      <c r="H22" s="134"/>
      <c r="I22" s="134"/>
      <c r="M22" s="37"/>
    </row>
    <row r="23" spans="2:13" ht="24" customHeight="1">
      <c r="B23" s="134"/>
      <c r="C23" s="134"/>
      <c r="D23" s="134"/>
      <c r="E23" s="134"/>
      <c r="F23" s="134"/>
      <c r="G23" s="134"/>
      <c r="H23" s="134"/>
      <c r="I23" s="134"/>
      <c r="M23" s="37"/>
    </row>
    <row r="25" spans="2:13" ht="27">
      <c r="C25" s="98">
        <v>10</v>
      </c>
      <c r="D25" s="98" t="s">
        <v>173</v>
      </c>
      <c r="E25" s="71" t="s">
        <v>32</v>
      </c>
      <c r="F25" s="72">
        <f>H34</f>
        <v>0</v>
      </c>
      <c r="G25" s="16" t="s">
        <v>33</v>
      </c>
    </row>
    <row r="27" spans="2:13" ht="24.75" customHeight="1">
      <c r="B27" s="55"/>
      <c r="C27" s="56"/>
      <c r="D27" s="64" t="s">
        <v>42</v>
      </c>
      <c r="E27" s="136" t="s">
        <v>148</v>
      </c>
      <c r="F27" s="124"/>
      <c r="G27" s="124"/>
      <c r="H27" s="125"/>
      <c r="I27" s="12"/>
    </row>
    <row r="28" spans="2:13" ht="24.75" customHeight="1">
      <c r="B28" s="55"/>
      <c r="C28" s="56"/>
      <c r="D28" s="60" t="s">
        <v>139</v>
      </c>
      <c r="E28" s="135" t="s">
        <v>104</v>
      </c>
      <c r="F28" s="124"/>
      <c r="G28" s="124"/>
      <c r="H28" s="125"/>
      <c r="I28" s="12"/>
    </row>
    <row r="29" spans="2:13" ht="24.75" customHeight="1">
      <c r="B29" s="57"/>
      <c r="C29" s="56"/>
      <c r="D29" s="60" t="s">
        <v>43</v>
      </c>
      <c r="E29" s="126">
        <v>46010</v>
      </c>
      <c r="F29" s="124"/>
      <c r="G29" s="124"/>
      <c r="H29" s="125"/>
      <c r="I29" s="53"/>
    </row>
    <row r="30" spans="2:13" ht="24.75" customHeight="1">
      <c r="B30" s="57"/>
      <c r="C30" s="56"/>
      <c r="D30" s="65" t="s">
        <v>44</v>
      </c>
      <c r="E30" s="61"/>
      <c r="F30" s="67"/>
      <c r="G30" s="45"/>
      <c r="H30" s="46"/>
      <c r="I30" s="73" t="s">
        <v>45</v>
      </c>
    </row>
    <row r="31" spans="2:13" ht="24.75" customHeight="1">
      <c r="B31" s="57"/>
      <c r="C31" s="56"/>
      <c r="D31" s="62" t="s">
        <v>46</v>
      </c>
      <c r="E31" s="68" t="s">
        <v>35</v>
      </c>
      <c r="F31" s="67"/>
      <c r="G31" s="45"/>
      <c r="H31" s="44">
        <f>H30</f>
        <v>0</v>
      </c>
      <c r="I31" s="74" t="s">
        <v>40</v>
      </c>
    </row>
    <row r="32" spans="2:13" ht="24.75" customHeight="1">
      <c r="B32" s="57"/>
      <c r="C32" s="56"/>
      <c r="D32" s="62"/>
      <c r="E32" s="68" t="s">
        <v>36</v>
      </c>
      <c r="F32" s="67"/>
      <c r="G32" s="45"/>
      <c r="H32" s="45">
        <v>0</v>
      </c>
      <c r="I32" s="74" t="s">
        <v>40</v>
      </c>
    </row>
    <row r="33" spans="2:10" ht="24.75" customHeight="1">
      <c r="B33" s="57"/>
      <c r="C33" s="56"/>
      <c r="D33" s="62"/>
      <c r="E33" s="66" t="s">
        <v>37</v>
      </c>
      <c r="F33" s="69"/>
      <c r="G33" s="43"/>
      <c r="H33" s="59"/>
      <c r="I33" s="74" t="s">
        <v>40</v>
      </c>
    </row>
    <row r="34" spans="2:10" ht="24">
      <c r="B34" s="57"/>
      <c r="C34" s="56"/>
      <c r="D34" s="42"/>
      <c r="E34" s="38"/>
      <c r="F34" s="38"/>
      <c r="G34" s="63" t="s">
        <v>47</v>
      </c>
      <c r="H34" s="70">
        <f>SUM(H31-H32+H33)</f>
        <v>0</v>
      </c>
      <c r="I34" s="74" t="s">
        <v>40</v>
      </c>
    </row>
    <row r="35" spans="2:10" ht="24">
      <c r="B35" s="57"/>
      <c r="C35" s="56"/>
      <c r="D35" s="12"/>
      <c r="E35" s="12"/>
      <c r="F35" s="12"/>
      <c r="G35" s="12"/>
      <c r="H35" s="12"/>
      <c r="I35" s="53"/>
    </row>
    <row r="36" spans="2:10" ht="24">
      <c r="B36" s="57"/>
      <c r="C36" s="56"/>
      <c r="D36" s="12"/>
      <c r="E36" s="12"/>
      <c r="F36" s="12"/>
      <c r="G36" s="12"/>
      <c r="H36" s="12"/>
      <c r="I36" s="12"/>
    </row>
    <row r="37" spans="2:10" ht="24">
      <c r="B37" s="57"/>
      <c r="C37" s="56"/>
      <c r="D37" s="12"/>
      <c r="E37" s="12"/>
      <c r="F37" s="12"/>
      <c r="G37" s="12"/>
      <c r="H37" s="12"/>
      <c r="I37" s="12"/>
    </row>
    <row r="38" spans="2:10" ht="24">
      <c r="B38" s="57"/>
      <c r="C38" s="56"/>
      <c r="D38" s="12"/>
      <c r="E38" s="12"/>
      <c r="F38" s="12"/>
      <c r="G38" s="12"/>
      <c r="H38" s="12"/>
      <c r="I38" s="54"/>
    </row>
    <row r="39" spans="2:10" s="11" customFormat="1" ht="20.25" customHeight="1">
      <c r="B39" s="57"/>
      <c r="C39" s="58"/>
      <c r="D39" s="12"/>
      <c r="E39" s="12"/>
      <c r="F39" s="12"/>
      <c r="G39" s="12"/>
      <c r="H39" s="12"/>
      <c r="I39" s="12"/>
      <c r="J39" s="18"/>
    </row>
    <row r="40" spans="2:10" s="11" customFormat="1" ht="20.25" customHeight="1">
      <c r="B40" s="57"/>
      <c r="C40" s="58"/>
      <c r="D40" s="12"/>
      <c r="E40" s="12"/>
      <c r="F40" s="12"/>
      <c r="G40" s="12"/>
      <c r="H40" s="12"/>
      <c r="I40" s="12"/>
    </row>
    <row r="41" spans="2:10" s="11" customFormat="1" ht="20.25" customHeight="1">
      <c r="B41" s="57"/>
      <c r="C41" s="58"/>
      <c r="D41" s="12"/>
      <c r="E41" s="12"/>
      <c r="F41" s="12"/>
      <c r="G41" s="12"/>
      <c r="H41" s="12"/>
      <c r="I41" s="12"/>
    </row>
    <row r="42" spans="2:10" s="11" customFormat="1" ht="20.25" customHeight="1">
      <c r="B42" s="57"/>
      <c r="C42" s="58"/>
      <c r="D42" s="12"/>
      <c r="E42" s="12"/>
      <c r="F42" s="12"/>
      <c r="G42" s="12"/>
      <c r="H42" s="12"/>
      <c r="I42" s="12"/>
    </row>
    <row r="43" spans="2:10" ht="24">
      <c r="B43" s="1"/>
      <c r="C43" s="1"/>
      <c r="D43" s="1"/>
      <c r="E43" s="1"/>
      <c r="F43" s="1"/>
      <c r="G43" s="12"/>
      <c r="H43" s="1"/>
      <c r="I43" s="12"/>
    </row>
    <row r="44" spans="2:10" ht="24">
      <c r="B44" s="12"/>
      <c r="C44" s="12"/>
      <c r="D44" s="12"/>
      <c r="E44" s="12"/>
      <c r="F44" s="12"/>
      <c r="G44" s="12"/>
      <c r="H44" s="12"/>
      <c r="I44" s="41"/>
    </row>
    <row r="45" spans="2:10" ht="24">
      <c r="B45" s="12"/>
      <c r="C45" s="12"/>
      <c r="D45" s="12"/>
      <c r="E45" s="12"/>
      <c r="F45" s="39"/>
      <c r="G45" s="39"/>
      <c r="H45" s="40"/>
      <c r="I45" s="39"/>
    </row>
  </sheetData>
  <mergeCells count="9">
    <mergeCell ref="E27:H27"/>
    <mergeCell ref="E29:H29"/>
    <mergeCell ref="I2:J2"/>
    <mergeCell ref="B6:D6"/>
    <mergeCell ref="G15:G16"/>
    <mergeCell ref="H16:J16"/>
    <mergeCell ref="H17:J17"/>
    <mergeCell ref="B22:I23"/>
    <mergeCell ref="E28:H28"/>
  </mergeCells>
  <phoneticPr fontId="7"/>
  <dataValidations count="1">
    <dataValidation allowBlank="1" showInputMessage="1" showErrorMessage="1" sqref="H2" xr:uid="{EA115004-1A76-A441-9D73-1163C986BC9A}"/>
  </dataValidations>
  <pageMargins left="0.7" right="0.7" top="0.75" bottom="0.75" header="0.3" footer="0.3"/>
  <pageSetup paperSize="9" scale="77"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F0957-A13A-4641-875A-32D841507BB9}">
  <sheetPr codeName="Sheet28">
    <tabColor theme="4"/>
    <pageSetUpPr fitToPage="1"/>
  </sheetPr>
  <dimension ref="B1:M45"/>
  <sheetViews>
    <sheetView topLeftCell="A13" zoomScaleNormal="100" workbookViewId="0">
      <selection activeCell="L33" sqref="L33"/>
    </sheetView>
  </sheetViews>
  <sheetFormatPr baseColWidth="10" defaultColWidth="8.83203125" defaultRowHeight="18"/>
  <cols>
    <col min="1" max="1" width="8.1640625" customWidth="1"/>
    <col min="2" max="2" width="4.33203125" customWidth="1"/>
    <col min="3" max="3" width="8.5" customWidth="1"/>
    <col min="4" max="4" width="17.1640625" customWidth="1"/>
    <col min="5" max="5" width="13.6640625" customWidth="1"/>
    <col min="6" max="6" width="17.1640625" customWidth="1"/>
    <col min="7" max="7" width="13.6640625" customWidth="1"/>
    <col min="8" max="8" width="17.1640625" customWidth="1"/>
    <col min="9" max="9" width="6.5" customWidth="1"/>
    <col min="10" max="10" width="6.6640625" customWidth="1"/>
    <col min="11" max="11" width="11.1640625" customWidth="1"/>
    <col min="12" max="12" width="6.6640625" customWidth="1"/>
    <col min="13" max="13" width="15.83203125" customWidth="1"/>
    <col min="14" max="14" width="17.6640625" customWidth="1"/>
    <col min="15" max="15" width="18.1640625" customWidth="1"/>
  </cols>
  <sheetData>
    <row r="1" spans="2:13">
      <c r="I1" s="10"/>
    </row>
    <row r="2" spans="2:13" ht="24">
      <c r="B2" s="1"/>
      <c r="G2" s="87"/>
      <c r="H2" s="88"/>
      <c r="I2" s="130"/>
      <c r="J2" s="130"/>
    </row>
    <row r="3" spans="2:13" ht="24" customHeight="1">
      <c r="B3" s="76"/>
      <c r="C3" s="76"/>
      <c r="D3" s="76"/>
      <c r="E3" s="76"/>
      <c r="G3" s="87"/>
      <c r="H3" s="88"/>
      <c r="I3" s="88"/>
    </row>
    <row r="4" spans="2:13" ht="18.75" customHeight="1">
      <c r="B4" s="76"/>
      <c r="C4" s="76"/>
      <c r="D4" s="76"/>
      <c r="E4" s="76"/>
    </row>
    <row r="5" spans="2:13" ht="24">
      <c r="B5" s="33"/>
      <c r="C5" s="33"/>
      <c r="D5" s="33"/>
    </row>
    <row r="6" spans="2:13" ht="45">
      <c r="B6" s="131"/>
      <c r="C6" s="131"/>
      <c r="D6" s="131"/>
      <c r="E6" s="1"/>
      <c r="F6" s="86" t="s">
        <v>137</v>
      </c>
    </row>
    <row r="7" spans="2:13" ht="24">
      <c r="B7" s="1" t="s">
        <v>20</v>
      </c>
      <c r="C7" s="12"/>
      <c r="D7" s="90">
        <v>3000013817</v>
      </c>
      <c r="E7" s="13"/>
    </row>
    <row r="8" spans="2:13" ht="24">
      <c r="B8" s="12" t="s">
        <v>21</v>
      </c>
      <c r="C8" s="12"/>
      <c r="D8" s="84" t="str">
        <f>受給者情報!G5</f>
        <v>ローダジャスティン</v>
      </c>
      <c r="E8" t="s">
        <v>41</v>
      </c>
    </row>
    <row r="12" spans="2:13" ht="31">
      <c r="E12" s="52" t="s">
        <v>22</v>
      </c>
      <c r="F12" s="52"/>
      <c r="G12" s="52"/>
    </row>
    <row r="13" spans="2:13" ht="24">
      <c r="I13" s="14"/>
      <c r="M13" s="37"/>
    </row>
    <row r="14" spans="2:13">
      <c r="M14" s="37"/>
    </row>
    <row r="15" spans="2:13" ht="24" customHeight="1">
      <c r="G15" s="132" t="s">
        <v>23</v>
      </c>
      <c r="H15" s="49" t="s">
        <v>24</v>
      </c>
      <c r="I15" s="49"/>
      <c r="M15" s="37"/>
    </row>
    <row r="16" spans="2:13" ht="24" customHeight="1">
      <c r="G16" s="132"/>
      <c r="H16" s="133" t="s">
        <v>25</v>
      </c>
      <c r="I16" s="133"/>
      <c r="J16" s="133"/>
      <c r="M16" s="37"/>
    </row>
    <row r="17" spans="2:13" ht="40.5" customHeight="1">
      <c r="G17" s="50"/>
      <c r="H17" s="133" t="s">
        <v>27</v>
      </c>
      <c r="I17" s="133"/>
      <c r="J17" s="133"/>
      <c r="M17" s="37"/>
    </row>
    <row r="18" spans="2:13">
      <c r="G18" s="51" t="s">
        <v>28</v>
      </c>
      <c r="H18" s="51" t="str">
        <f>事業者情報!C5&amp;"　"&amp;事業者情報!C6</f>
        <v>代表取締役社長　澤田昌志</v>
      </c>
      <c r="M18" s="37"/>
    </row>
    <row r="19" spans="2:13">
      <c r="G19" s="51" t="s">
        <v>29</v>
      </c>
      <c r="H19" s="51" t="str">
        <f>事業者情報!C7&amp;""</f>
        <v>0566-63-6817</v>
      </c>
      <c r="M19" s="37"/>
    </row>
    <row r="20" spans="2:13">
      <c r="G20" s="51" t="s">
        <v>30</v>
      </c>
      <c r="H20" s="51" t="str">
        <f>事業者情報!C8&amp;""</f>
        <v>0566-63-6818</v>
      </c>
      <c r="M20" s="37"/>
    </row>
    <row r="21" spans="2:13">
      <c r="M21" s="37"/>
    </row>
    <row r="22" spans="2:13" ht="24" customHeight="1">
      <c r="B22" s="134" t="s">
        <v>135</v>
      </c>
      <c r="C22" s="134"/>
      <c r="D22" s="134"/>
      <c r="E22" s="134"/>
      <c r="F22" s="134"/>
      <c r="G22" s="134"/>
      <c r="H22" s="134"/>
      <c r="I22" s="134"/>
      <c r="M22" s="37"/>
    </row>
    <row r="23" spans="2:13" ht="24" customHeight="1">
      <c r="B23" s="134"/>
      <c r="C23" s="134"/>
      <c r="D23" s="134"/>
      <c r="E23" s="134"/>
      <c r="F23" s="134"/>
      <c r="G23" s="134"/>
      <c r="H23" s="134"/>
      <c r="I23" s="134"/>
      <c r="M23" s="37"/>
    </row>
    <row r="25" spans="2:13" ht="27">
      <c r="C25" s="98">
        <v>10</v>
      </c>
      <c r="D25" s="98" t="s">
        <v>173</v>
      </c>
      <c r="E25" s="71" t="s">
        <v>32</v>
      </c>
      <c r="F25" s="72">
        <f>H34</f>
        <v>0</v>
      </c>
      <c r="G25" s="16" t="s">
        <v>33</v>
      </c>
    </row>
    <row r="27" spans="2:13" ht="24.75" customHeight="1">
      <c r="B27" s="55"/>
      <c r="C27" s="56"/>
      <c r="D27" s="64" t="s">
        <v>42</v>
      </c>
      <c r="E27" s="136" t="s">
        <v>133</v>
      </c>
      <c r="F27" s="124"/>
      <c r="G27" s="124"/>
      <c r="H27" s="125"/>
      <c r="I27" s="12"/>
    </row>
    <row r="28" spans="2:13" ht="24.75" customHeight="1">
      <c r="B28" s="55"/>
      <c r="C28" s="56"/>
      <c r="D28" s="60" t="s">
        <v>139</v>
      </c>
      <c r="E28" s="135" t="s">
        <v>104</v>
      </c>
      <c r="F28" s="124"/>
      <c r="G28" s="124"/>
      <c r="H28" s="125"/>
      <c r="I28" s="12"/>
    </row>
    <row r="29" spans="2:13" ht="24.75" customHeight="1">
      <c r="B29" s="57"/>
      <c r="C29" s="56"/>
      <c r="D29" s="60" t="s">
        <v>43</v>
      </c>
      <c r="E29" s="126">
        <v>46010</v>
      </c>
      <c r="F29" s="124"/>
      <c r="G29" s="124"/>
      <c r="H29" s="125"/>
      <c r="I29" s="53"/>
    </row>
    <row r="30" spans="2:13" ht="24.75" customHeight="1">
      <c r="B30" s="57"/>
      <c r="C30" s="56"/>
      <c r="D30" s="65" t="s">
        <v>44</v>
      </c>
      <c r="E30" s="61"/>
      <c r="F30" s="67"/>
      <c r="G30" s="45"/>
      <c r="H30" s="46"/>
      <c r="I30" s="73" t="s">
        <v>45</v>
      </c>
    </row>
    <row r="31" spans="2:13" ht="24.75" customHeight="1">
      <c r="B31" s="57"/>
      <c r="C31" s="56"/>
      <c r="D31" s="62" t="s">
        <v>46</v>
      </c>
      <c r="E31" s="68" t="s">
        <v>35</v>
      </c>
      <c r="F31" s="67"/>
      <c r="G31" s="45"/>
      <c r="H31" s="44">
        <f>H30</f>
        <v>0</v>
      </c>
      <c r="I31" s="74" t="s">
        <v>40</v>
      </c>
    </row>
    <row r="32" spans="2:13" ht="24.75" customHeight="1">
      <c r="B32" s="57"/>
      <c r="C32" s="56"/>
      <c r="D32" s="62"/>
      <c r="E32" s="68" t="s">
        <v>36</v>
      </c>
      <c r="F32" s="67"/>
      <c r="G32" s="45"/>
      <c r="H32" s="45">
        <v>0</v>
      </c>
      <c r="I32" s="74" t="s">
        <v>40</v>
      </c>
    </row>
    <row r="33" spans="2:10" ht="24.75" customHeight="1">
      <c r="B33" s="57"/>
      <c r="C33" s="56"/>
      <c r="D33" s="62"/>
      <c r="E33" s="66" t="s">
        <v>37</v>
      </c>
      <c r="F33" s="69"/>
      <c r="G33" s="43"/>
      <c r="H33" s="59"/>
      <c r="I33" s="74" t="s">
        <v>40</v>
      </c>
    </row>
    <row r="34" spans="2:10" ht="24">
      <c r="B34" s="57"/>
      <c r="C34" s="56"/>
      <c r="D34" s="42"/>
      <c r="E34" s="38"/>
      <c r="F34" s="38"/>
      <c r="G34" s="63" t="s">
        <v>47</v>
      </c>
      <c r="H34" s="70">
        <f>SUM(H31-H32+H33)</f>
        <v>0</v>
      </c>
      <c r="I34" s="74" t="s">
        <v>40</v>
      </c>
    </row>
    <row r="35" spans="2:10" ht="24">
      <c r="B35" s="57"/>
      <c r="C35" s="56"/>
      <c r="D35" s="12"/>
      <c r="E35" s="12"/>
      <c r="F35" s="12"/>
      <c r="G35" s="12"/>
      <c r="H35" s="12"/>
      <c r="I35" s="53"/>
    </row>
    <row r="36" spans="2:10" ht="24">
      <c r="B36" s="57"/>
      <c r="C36" s="56"/>
      <c r="D36" s="12"/>
      <c r="E36" s="12"/>
      <c r="F36" s="12"/>
      <c r="G36" s="12"/>
      <c r="H36" s="12"/>
      <c r="I36" s="12"/>
    </row>
    <row r="37" spans="2:10" ht="24">
      <c r="B37" s="57"/>
      <c r="C37" s="56"/>
      <c r="D37" s="12"/>
      <c r="E37" s="12"/>
      <c r="F37" s="12"/>
      <c r="G37" s="12"/>
      <c r="H37" s="12"/>
      <c r="I37" s="12"/>
    </row>
    <row r="38" spans="2:10" ht="24">
      <c r="B38" s="57"/>
      <c r="C38" s="56"/>
      <c r="D38" s="12"/>
      <c r="E38" s="12"/>
      <c r="F38" s="12"/>
      <c r="G38" s="12"/>
      <c r="H38" s="12"/>
      <c r="I38" s="54"/>
    </row>
    <row r="39" spans="2:10" s="11" customFormat="1" ht="20.25" customHeight="1">
      <c r="B39" s="57"/>
      <c r="C39" s="58"/>
      <c r="D39" s="12"/>
      <c r="E39" s="12"/>
      <c r="F39" s="12"/>
      <c r="G39" s="12"/>
      <c r="H39" s="12"/>
      <c r="I39" s="12"/>
      <c r="J39" s="18"/>
    </row>
    <row r="40" spans="2:10" s="11" customFormat="1" ht="20.25" customHeight="1">
      <c r="B40" s="57"/>
      <c r="C40" s="58"/>
      <c r="D40" s="12"/>
      <c r="E40" s="12"/>
      <c r="F40" s="12"/>
      <c r="G40" s="12"/>
      <c r="H40" s="12"/>
      <c r="I40" s="12"/>
    </row>
    <row r="41" spans="2:10" s="11" customFormat="1" ht="20.25" customHeight="1">
      <c r="B41" s="57"/>
      <c r="C41" s="58"/>
      <c r="D41" s="12"/>
      <c r="E41" s="12"/>
      <c r="F41" s="12"/>
      <c r="G41" s="12"/>
      <c r="H41" s="12"/>
      <c r="I41" s="12"/>
    </row>
    <row r="42" spans="2:10" s="11" customFormat="1" ht="20.25" customHeight="1">
      <c r="B42" s="57"/>
      <c r="C42" s="58"/>
      <c r="D42" s="12"/>
      <c r="E42" s="12"/>
      <c r="F42" s="12"/>
      <c r="G42" s="12"/>
      <c r="H42" s="12"/>
      <c r="I42" s="12"/>
    </row>
    <row r="43" spans="2:10" ht="24">
      <c r="B43" s="1"/>
      <c r="C43" s="1"/>
      <c r="D43" s="1"/>
      <c r="E43" s="1"/>
      <c r="F43" s="1"/>
      <c r="G43" s="12"/>
      <c r="H43" s="1"/>
      <c r="I43" s="12"/>
    </row>
    <row r="44" spans="2:10" ht="24">
      <c r="B44" s="12"/>
      <c r="C44" s="12"/>
      <c r="D44" s="12"/>
      <c r="E44" s="12"/>
      <c r="F44" s="12"/>
      <c r="G44" s="12"/>
      <c r="H44" s="12"/>
      <c r="I44" s="41"/>
    </row>
    <row r="45" spans="2:10" ht="24">
      <c r="B45" s="12"/>
      <c r="C45" s="12"/>
      <c r="D45" s="12"/>
      <c r="E45" s="12"/>
      <c r="F45" s="39"/>
      <c r="G45" s="39"/>
      <c r="H45" s="40"/>
      <c r="I45" s="39"/>
    </row>
  </sheetData>
  <mergeCells count="9">
    <mergeCell ref="E27:H27"/>
    <mergeCell ref="E29:H29"/>
    <mergeCell ref="I2:J2"/>
    <mergeCell ref="B6:D6"/>
    <mergeCell ref="G15:G16"/>
    <mergeCell ref="H16:J16"/>
    <mergeCell ref="H17:J17"/>
    <mergeCell ref="B22:I23"/>
    <mergeCell ref="E28:H28"/>
  </mergeCells>
  <phoneticPr fontId="7"/>
  <dataValidations count="1">
    <dataValidation allowBlank="1" showInputMessage="1" showErrorMessage="1" sqref="H2" xr:uid="{C903E8E3-61C9-0B48-BB4D-40061D796BBE}"/>
  </dataValidations>
  <pageMargins left="0.7" right="0.7" top="0.75" bottom="0.75" header="0.3" footer="0.3"/>
  <pageSetup paperSize="9" scale="71"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A7ACA-F42B-6A4E-B413-ACCA4CB88BD3}">
  <sheetPr codeName="Sheet29">
    <tabColor theme="4"/>
    <pageSetUpPr fitToPage="1"/>
  </sheetPr>
  <dimension ref="B1:M45"/>
  <sheetViews>
    <sheetView topLeftCell="A14" zoomScaleNormal="100" workbookViewId="0">
      <selection activeCell="L33" sqref="L33"/>
    </sheetView>
  </sheetViews>
  <sheetFormatPr baseColWidth="10" defaultColWidth="8.83203125" defaultRowHeight="18"/>
  <cols>
    <col min="1" max="1" width="8.1640625" customWidth="1"/>
    <col min="2" max="2" width="4.33203125" customWidth="1"/>
    <col min="3" max="3" width="8.5" customWidth="1"/>
    <col min="4" max="4" width="17.1640625" customWidth="1"/>
    <col min="5" max="5" width="13.6640625" customWidth="1"/>
    <col min="6" max="6" width="17.1640625" customWidth="1"/>
    <col min="7" max="7" width="13.6640625" customWidth="1"/>
    <col min="8" max="8" width="17.1640625" customWidth="1"/>
    <col min="9" max="9" width="6.5" customWidth="1"/>
    <col min="10" max="10" width="6.6640625" customWidth="1"/>
    <col min="11" max="11" width="11.1640625" customWidth="1"/>
    <col min="12" max="12" width="6.6640625" customWidth="1"/>
    <col min="13" max="13" width="15.83203125" customWidth="1"/>
    <col min="14" max="14" width="17.6640625" customWidth="1"/>
    <col min="15" max="15" width="18.1640625" customWidth="1"/>
  </cols>
  <sheetData>
    <row r="1" spans="2:13">
      <c r="I1" s="10"/>
    </row>
    <row r="2" spans="2:13" ht="24">
      <c r="B2" s="1"/>
      <c r="G2" s="87"/>
      <c r="H2" s="88"/>
      <c r="I2" s="130"/>
      <c r="J2" s="130"/>
    </row>
    <row r="3" spans="2:13" ht="24" customHeight="1">
      <c r="B3" s="76"/>
      <c r="C3" s="76"/>
      <c r="D3" s="76"/>
      <c r="E3" s="76"/>
      <c r="G3" s="87"/>
      <c r="H3" s="88"/>
      <c r="I3" s="88"/>
    </row>
    <row r="4" spans="2:13" ht="18.75" customHeight="1">
      <c r="B4" s="76"/>
      <c r="C4" s="76"/>
      <c r="D4" s="76"/>
      <c r="E4" s="76"/>
    </row>
    <row r="5" spans="2:13" ht="24">
      <c r="B5" s="33"/>
      <c r="C5" s="33"/>
      <c r="D5" s="33"/>
    </row>
    <row r="6" spans="2:13" ht="45">
      <c r="B6" s="131"/>
      <c r="C6" s="131"/>
      <c r="D6" s="131"/>
      <c r="E6" s="1"/>
      <c r="F6" s="86" t="s">
        <v>137</v>
      </c>
    </row>
    <row r="7" spans="2:13" ht="24">
      <c r="B7" s="1" t="s">
        <v>20</v>
      </c>
      <c r="C7" s="12"/>
      <c r="D7" s="92">
        <v>491191</v>
      </c>
      <c r="E7" s="13"/>
    </row>
    <row r="8" spans="2:13" ht="24">
      <c r="B8" s="12" t="s">
        <v>21</v>
      </c>
      <c r="C8" s="12"/>
      <c r="D8" s="12" t="str">
        <f>受給者情報!G6</f>
        <v>荒川友彰</v>
      </c>
      <c r="E8" t="s">
        <v>41</v>
      </c>
    </row>
    <row r="12" spans="2:13" ht="31">
      <c r="E12" s="52" t="s">
        <v>22</v>
      </c>
      <c r="F12" s="52"/>
      <c r="G12" s="52"/>
    </row>
    <row r="13" spans="2:13" ht="24">
      <c r="I13" s="14"/>
      <c r="M13" s="37"/>
    </row>
    <row r="14" spans="2:13">
      <c r="M14" s="37"/>
    </row>
    <row r="15" spans="2:13" ht="24" customHeight="1">
      <c r="G15" s="132" t="s">
        <v>23</v>
      </c>
      <c r="H15" s="49" t="s">
        <v>24</v>
      </c>
      <c r="I15" s="49"/>
      <c r="M15" s="37"/>
    </row>
    <row r="16" spans="2:13" ht="24" customHeight="1">
      <c r="G16" s="132"/>
      <c r="H16" s="133" t="s">
        <v>25</v>
      </c>
      <c r="I16" s="133"/>
      <c r="J16" s="133"/>
      <c r="M16" s="37"/>
    </row>
    <row r="17" spans="2:13" ht="40.5" customHeight="1">
      <c r="G17" s="50"/>
      <c r="H17" s="133" t="s">
        <v>27</v>
      </c>
      <c r="I17" s="133"/>
      <c r="J17" s="133"/>
      <c r="M17" s="37"/>
    </row>
    <row r="18" spans="2:13">
      <c r="G18" s="51" t="s">
        <v>28</v>
      </c>
      <c r="H18" s="51" t="str">
        <f>事業者情報!C5&amp;"　"&amp;事業者情報!C6</f>
        <v>代表取締役社長　澤田昌志</v>
      </c>
      <c r="M18" s="37"/>
    </row>
    <row r="19" spans="2:13">
      <c r="G19" s="51" t="s">
        <v>29</v>
      </c>
      <c r="H19" s="51" t="str">
        <f>事業者情報!C7&amp;""</f>
        <v>0566-63-6817</v>
      </c>
      <c r="M19" s="37"/>
    </row>
    <row r="20" spans="2:13">
      <c r="G20" s="51" t="s">
        <v>30</v>
      </c>
      <c r="H20" s="51" t="str">
        <f>事業者情報!C8&amp;""</f>
        <v>0566-63-6818</v>
      </c>
      <c r="M20" s="37"/>
    </row>
    <row r="21" spans="2:13">
      <c r="M21" s="37"/>
    </row>
    <row r="22" spans="2:13" ht="24" customHeight="1">
      <c r="B22" s="134" t="s">
        <v>135</v>
      </c>
      <c r="C22" s="134"/>
      <c r="D22" s="134"/>
      <c r="E22" s="134"/>
      <c r="F22" s="134"/>
      <c r="G22" s="134"/>
      <c r="H22" s="134"/>
      <c r="I22" s="134"/>
      <c r="M22" s="37"/>
    </row>
    <row r="23" spans="2:13" ht="24" customHeight="1">
      <c r="B23" s="134"/>
      <c r="C23" s="134"/>
      <c r="D23" s="134"/>
      <c r="E23" s="134"/>
      <c r="F23" s="134"/>
      <c r="G23" s="134"/>
      <c r="H23" s="134"/>
      <c r="I23" s="134"/>
      <c r="M23" s="37"/>
    </row>
    <row r="25" spans="2:13" ht="27">
      <c r="C25" s="98">
        <v>10</v>
      </c>
      <c r="D25" s="98" t="s">
        <v>173</v>
      </c>
      <c r="E25" s="71" t="s">
        <v>32</v>
      </c>
      <c r="F25" s="72">
        <f>H34</f>
        <v>0</v>
      </c>
      <c r="G25" s="16" t="s">
        <v>33</v>
      </c>
    </row>
    <row r="27" spans="2:13" ht="24.75" customHeight="1">
      <c r="B27" s="55"/>
      <c r="C27" s="56"/>
      <c r="D27" s="64" t="s">
        <v>42</v>
      </c>
      <c r="E27" s="136" t="s">
        <v>148</v>
      </c>
      <c r="F27" s="124"/>
      <c r="G27" s="124"/>
      <c r="H27" s="125"/>
      <c r="I27" s="12"/>
    </row>
    <row r="28" spans="2:13" ht="24.75" customHeight="1">
      <c r="B28" s="55"/>
      <c r="C28" s="56"/>
      <c r="D28" s="60" t="s">
        <v>139</v>
      </c>
      <c r="E28" s="135" t="s">
        <v>104</v>
      </c>
      <c r="F28" s="124"/>
      <c r="G28" s="124"/>
      <c r="H28" s="125"/>
      <c r="I28" s="12"/>
    </row>
    <row r="29" spans="2:13" ht="24.75" customHeight="1">
      <c r="B29" s="57"/>
      <c r="C29" s="56"/>
      <c r="D29" s="60" t="s">
        <v>43</v>
      </c>
      <c r="E29" s="126">
        <v>46010</v>
      </c>
      <c r="F29" s="124"/>
      <c r="G29" s="124"/>
      <c r="H29" s="125"/>
      <c r="I29" s="53"/>
    </row>
    <row r="30" spans="2:13" ht="24.75" customHeight="1">
      <c r="B30" s="57"/>
      <c r="C30" s="56"/>
      <c r="D30" s="65" t="s">
        <v>44</v>
      </c>
      <c r="E30" s="61"/>
      <c r="F30" s="67"/>
      <c r="G30" s="45"/>
      <c r="H30" s="104"/>
      <c r="I30" s="73" t="s">
        <v>45</v>
      </c>
    </row>
    <row r="31" spans="2:13" ht="24.75" customHeight="1">
      <c r="B31" s="57"/>
      <c r="C31" s="56"/>
      <c r="D31" s="62" t="s">
        <v>46</v>
      </c>
      <c r="E31" s="68" t="s">
        <v>35</v>
      </c>
      <c r="F31" s="67"/>
      <c r="G31" s="45"/>
      <c r="H31" s="101">
        <f>H30</f>
        <v>0</v>
      </c>
      <c r="I31" s="74" t="s">
        <v>40</v>
      </c>
    </row>
    <row r="32" spans="2:13" ht="24.75" customHeight="1">
      <c r="B32" s="57"/>
      <c r="C32" s="56"/>
      <c r="D32" s="62"/>
      <c r="E32" s="68" t="s">
        <v>36</v>
      </c>
      <c r="F32" s="67"/>
      <c r="G32" s="45"/>
      <c r="H32" s="102">
        <v>0</v>
      </c>
      <c r="I32" s="74" t="s">
        <v>40</v>
      </c>
    </row>
    <row r="33" spans="2:10" ht="24.75" customHeight="1">
      <c r="B33" s="57"/>
      <c r="C33" s="56"/>
      <c r="D33" s="62"/>
      <c r="E33" s="66" t="s">
        <v>37</v>
      </c>
      <c r="F33" s="69"/>
      <c r="G33" s="43"/>
      <c r="H33" s="103">
        <v>0</v>
      </c>
      <c r="I33" s="74" t="s">
        <v>40</v>
      </c>
    </row>
    <row r="34" spans="2:10" ht="24">
      <c r="B34" s="57"/>
      <c r="C34" s="56"/>
      <c r="D34" s="42"/>
      <c r="E34" s="38"/>
      <c r="F34" s="38"/>
      <c r="G34" s="63" t="s">
        <v>47</v>
      </c>
      <c r="H34" s="96">
        <f>SUM(H31-H32+H33)</f>
        <v>0</v>
      </c>
      <c r="I34" s="74" t="s">
        <v>40</v>
      </c>
    </row>
    <row r="35" spans="2:10" ht="24">
      <c r="B35" s="57"/>
      <c r="C35" s="56"/>
      <c r="D35" s="12"/>
      <c r="E35" s="12"/>
      <c r="F35" s="12"/>
      <c r="G35" s="12"/>
      <c r="H35" s="12"/>
      <c r="I35" s="53"/>
    </row>
    <row r="36" spans="2:10" ht="24">
      <c r="B36" s="57"/>
      <c r="C36" s="56"/>
      <c r="D36" s="12"/>
      <c r="E36" s="12"/>
      <c r="F36" s="12"/>
      <c r="G36" s="12"/>
      <c r="H36" s="12"/>
      <c r="I36" s="12"/>
    </row>
    <row r="37" spans="2:10" ht="24">
      <c r="B37" s="57"/>
      <c r="C37" s="56"/>
      <c r="D37" s="12"/>
      <c r="E37" s="12"/>
      <c r="F37" s="12"/>
      <c r="G37" s="12"/>
      <c r="H37" s="12"/>
      <c r="I37" s="12"/>
    </row>
    <row r="38" spans="2:10" ht="24">
      <c r="B38" s="57"/>
      <c r="C38" s="56"/>
      <c r="D38" s="12"/>
      <c r="E38" s="12"/>
      <c r="F38" s="12"/>
      <c r="G38" s="12"/>
      <c r="H38" s="12"/>
      <c r="I38" s="54"/>
    </row>
    <row r="39" spans="2:10" s="11" customFormat="1" ht="20.25" customHeight="1">
      <c r="B39" s="57"/>
      <c r="C39" s="58"/>
      <c r="D39" s="12"/>
      <c r="E39" s="12"/>
      <c r="F39" s="12"/>
      <c r="G39" s="12"/>
      <c r="H39" s="12"/>
      <c r="I39" s="12"/>
      <c r="J39" s="18"/>
    </row>
    <row r="40" spans="2:10" s="11" customFormat="1" ht="20.25" customHeight="1">
      <c r="B40" s="57"/>
      <c r="C40" s="58"/>
      <c r="D40" s="12"/>
      <c r="E40" s="12"/>
      <c r="F40" s="12"/>
      <c r="G40" s="12"/>
      <c r="H40" s="12"/>
      <c r="I40" s="12"/>
    </row>
    <row r="41" spans="2:10" s="11" customFormat="1" ht="20.25" customHeight="1">
      <c r="B41" s="57"/>
      <c r="C41" s="58"/>
      <c r="D41" s="12"/>
      <c r="E41" s="12"/>
      <c r="F41" s="12"/>
      <c r="G41" s="12"/>
      <c r="H41" s="12"/>
      <c r="I41" s="12"/>
    </row>
    <row r="42" spans="2:10" s="11" customFormat="1" ht="20.25" customHeight="1">
      <c r="B42" s="57"/>
      <c r="C42" s="58"/>
      <c r="D42" s="12"/>
      <c r="E42" s="12"/>
      <c r="F42" s="12"/>
      <c r="G42" s="12"/>
      <c r="H42" s="12"/>
      <c r="I42" s="12"/>
    </row>
    <row r="43" spans="2:10" ht="24">
      <c r="B43" s="1"/>
      <c r="C43" s="1"/>
      <c r="D43" s="1"/>
      <c r="E43" s="1"/>
      <c r="F43" s="1"/>
      <c r="G43" s="12"/>
      <c r="H43" s="1"/>
      <c r="I43" s="12"/>
    </row>
    <row r="44" spans="2:10" ht="24">
      <c r="B44" s="12"/>
      <c r="C44" s="12"/>
      <c r="D44" s="12"/>
      <c r="E44" s="12"/>
      <c r="F44" s="12"/>
      <c r="G44" s="12"/>
      <c r="H44" s="12"/>
      <c r="I44" s="41"/>
    </row>
    <row r="45" spans="2:10" ht="24">
      <c r="B45" s="12"/>
      <c r="C45" s="12"/>
      <c r="D45" s="12"/>
      <c r="E45" s="12"/>
      <c r="F45" s="39"/>
      <c r="G45" s="39"/>
      <c r="H45" s="40"/>
      <c r="I45" s="39"/>
    </row>
  </sheetData>
  <mergeCells count="9">
    <mergeCell ref="E27:H27"/>
    <mergeCell ref="E29:H29"/>
    <mergeCell ref="I2:J2"/>
    <mergeCell ref="B6:D6"/>
    <mergeCell ref="G15:G16"/>
    <mergeCell ref="H16:J16"/>
    <mergeCell ref="H17:J17"/>
    <mergeCell ref="B22:I23"/>
    <mergeCell ref="E28:H28"/>
  </mergeCells>
  <phoneticPr fontId="7"/>
  <dataValidations count="1">
    <dataValidation allowBlank="1" showInputMessage="1" showErrorMessage="1" sqref="H2" xr:uid="{A17A082C-23F8-8742-B49A-2E122B634610}"/>
  </dataValidations>
  <pageMargins left="0.7" right="0.7" top="0.75" bottom="0.75" header="0.3" footer="0.3"/>
  <pageSetup paperSize="9" scale="77"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1B5DA-BA34-D442-9A8F-CBD2D26F02C9}">
  <sheetPr codeName="Sheet30">
    <tabColor theme="4"/>
    <pageSetUpPr fitToPage="1"/>
  </sheetPr>
  <dimension ref="B1:M45"/>
  <sheetViews>
    <sheetView topLeftCell="A12" zoomScaleNormal="100" workbookViewId="0">
      <selection activeCell="L33" sqref="L33"/>
    </sheetView>
  </sheetViews>
  <sheetFormatPr baseColWidth="10" defaultColWidth="8.83203125" defaultRowHeight="18"/>
  <cols>
    <col min="1" max="1" width="8.1640625" customWidth="1"/>
    <col min="2" max="2" width="4.33203125" customWidth="1"/>
    <col min="3" max="3" width="8.5" customWidth="1"/>
    <col min="4" max="4" width="17.1640625" customWidth="1"/>
    <col min="5" max="5" width="13.6640625" customWidth="1"/>
    <col min="6" max="6" width="17.1640625" customWidth="1"/>
    <col min="7" max="7" width="13.6640625" customWidth="1"/>
    <col min="8" max="8" width="17.1640625" customWidth="1"/>
    <col min="9" max="9" width="6.5" customWidth="1"/>
    <col min="10" max="10" width="6.6640625" customWidth="1"/>
    <col min="11" max="11" width="11.1640625" customWidth="1"/>
    <col min="12" max="12" width="6.6640625" customWidth="1"/>
    <col min="13" max="13" width="15.83203125" customWidth="1"/>
    <col min="14" max="14" width="17.6640625" customWidth="1"/>
    <col min="15" max="15" width="18.1640625" customWidth="1"/>
  </cols>
  <sheetData>
    <row r="1" spans="2:13">
      <c r="I1" s="10"/>
    </row>
    <row r="2" spans="2:13" ht="24">
      <c r="B2" s="1"/>
      <c r="G2" s="87"/>
      <c r="H2" s="88"/>
      <c r="I2" s="130"/>
      <c r="J2" s="130"/>
    </row>
    <row r="3" spans="2:13" ht="24" customHeight="1">
      <c r="B3" s="76"/>
      <c r="C3" s="76"/>
      <c r="D3" s="76"/>
      <c r="E3" s="76"/>
      <c r="G3" s="87"/>
      <c r="H3" s="88"/>
      <c r="I3" s="88"/>
    </row>
    <row r="4" spans="2:13" ht="18.75" customHeight="1">
      <c r="B4" s="76"/>
      <c r="C4" s="76"/>
      <c r="D4" s="76"/>
      <c r="E4" s="76"/>
    </row>
    <row r="5" spans="2:13" ht="24">
      <c r="B5" s="33"/>
      <c r="C5" s="33"/>
      <c r="D5" s="33"/>
    </row>
    <row r="6" spans="2:13" ht="45">
      <c r="B6" s="131"/>
      <c r="C6" s="131"/>
      <c r="D6" s="131"/>
      <c r="E6" s="1"/>
      <c r="F6" s="86" t="s">
        <v>137</v>
      </c>
    </row>
    <row r="7" spans="2:13" ht="24">
      <c r="B7" s="1" t="s">
        <v>20</v>
      </c>
      <c r="C7" s="12"/>
      <c r="D7" s="90">
        <v>3000005029</v>
      </c>
      <c r="E7" s="13"/>
    </row>
    <row r="8" spans="2:13" ht="24">
      <c r="B8" s="12" t="s">
        <v>21</v>
      </c>
      <c r="C8" s="12"/>
      <c r="D8" s="12" t="str">
        <f>受給者情報!G7</f>
        <v>須原俊樹</v>
      </c>
      <c r="E8" t="s">
        <v>41</v>
      </c>
    </row>
    <row r="12" spans="2:13" ht="31">
      <c r="E12" s="52" t="s">
        <v>22</v>
      </c>
      <c r="F12" s="52"/>
      <c r="G12" s="52"/>
    </row>
    <row r="13" spans="2:13" ht="24">
      <c r="I13" s="14"/>
      <c r="M13" s="37"/>
    </row>
    <row r="14" spans="2:13">
      <c r="M14" s="37"/>
    </row>
    <row r="15" spans="2:13" ht="24" customHeight="1">
      <c r="G15" s="132" t="s">
        <v>23</v>
      </c>
      <c r="H15" s="49" t="s">
        <v>24</v>
      </c>
      <c r="I15" s="49"/>
      <c r="M15" s="37"/>
    </row>
    <row r="16" spans="2:13" ht="24" customHeight="1">
      <c r="G16" s="132"/>
      <c r="H16" s="133" t="s">
        <v>25</v>
      </c>
      <c r="I16" s="133"/>
      <c r="J16" s="133"/>
      <c r="M16" s="37"/>
    </row>
    <row r="17" spans="2:13" ht="40.5" customHeight="1">
      <c r="G17" s="50"/>
      <c r="H17" s="133" t="s">
        <v>27</v>
      </c>
      <c r="I17" s="133"/>
      <c r="J17" s="133"/>
      <c r="M17" s="37"/>
    </row>
    <row r="18" spans="2:13">
      <c r="G18" s="51" t="s">
        <v>28</v>
      </c>
      <c r="H18" s="51" t="str">
        <f>事業者情報!C5&amp;"　"&amp;事業者情報!C6</f>
        <v>代表取締役社長　澤田昌志</v>
      </c>
      <c r="M18" s="37"/>
    </row>
    <row r="19" spans="2:13">
      <c r="G19" s="51" t="s">
        <v>29</v>
      </c>
      <c r="H19" s="51" t="str">
        <f>事業者情報!C7&amp;""</f>
        <v>0566-63-6817</v>
      </c>
      <c r="M19" s="37"/>
    </row>
    <row r="20" spans="2:13">
      <c r="G20" s="51" t="s">
        <v>30</v>
      </c>
      <c r="H20" s="51" t="str">
        <f>事業者情報!C8&amp;""</f>
        <v>0566-63-6818</v>
      </c>
      <c r="M20" s="37"/>
    </row>
    <row r="21" spans="2:13">
      <c r="M21" s="37"/>
    </row>
    <row r="22" spans="2:13" ht="24" customHeight="1">
      <c r="B22" s="134" t="s">
        <v>135</v>
      </c>
      <c r="C22" s="134"/>
      <c r="D22" s="134"/>
      <c r="E22" s="134"/>
      <c r="F22" s="134"/>
      <c r="G22" s="134"/>
      <c r="H22" s="134"/>
      <c r="I22" s="134"/>
      <c r="M22" s="37"/>
    </row>
    <row r="23" spans="2:13" ht="24" customHeight="1">
      <c r="B23" s="134"/>
      <c r="C23" s="134"/>
      <c r="D23" s="134"/>
      <c r="E23" s="134"/>
      <c r="F23" s="134"/>
      <c r="G23" s="134"/>
      <c r="H23" s="134"/>
      <c r="I23" s="134"/>
      <c r="M23" s="37"/>
    </row>
    <row r="25" spans="2:13" ht="27">
      <c r="C25" s="98">
        <v>10</v>
      </c>
      <c r="D25" s="98" t="s">
        <v>173</v>
      </c>
      <c r="E25" s="71" t="s">
        <v>32</v>
      </c>
      <c r="F25" s="72">
        <f>H34</f>
        <v>0</v>
      </c>
      <c r="G25" s="16" t="s">
        <v>33</v>
      </c>
    </row>
    <row r="27" spans="2:13" ht="24.75" customHeight="1">
      <c r="B27" s="55"/>
      <c r="C27" s="56"/>
      <c r="D27" s="64" t="s">
        <v>42</v>
      </c>
      <c r="E27" s="136" t="s">
        <v>133</v>
      </c>
      <c r="F27" s="124"/>
      <c r="G27" s="124"/>
      <c r="H27" s="125"/>
      <c r="I27" s="12"/>
    </row>
    <row r="28" spans="2:13" ht="24.75" customHeight="1">
      <c r="B28" s="55"/>
      <c r="C28" s="56"/>
      <c r="D28" s="60" t="s">
        <v>139</v>
      </c>
      <c r="E28" s="135" t="s">
        <v>104</v>
      </c>
      <c r="F28" s="124"/>
      <c r="G28" s="124"/>
      <c r="H28" s="125"/>
      <c r="I28" s="12"/>
    </row>
    <row r="29" spans="2:13" ht="24.75" customHeight="1">
      <c r="B29" s="57"/>
      <c r="C29" s="56"/>
      <c r="D29" s="60" t="s">
        <v>43</v>
      </c>
      <c r="E29" s="126">
        <v>46010</v>
      </c>
      <c r="F29" s="124"/>
      <c r="G29" s="124"/>
      <c r="H29" s="125"/>
      <c r="I29" s="53"/>
    </row>
    <row r="30" spans="2:13" ht="24.75" customHeight="1">
      <c r="B30" s="57"/>
      <c r="C30" s="56"/>
      <c r="D30" s="65" t="s">
        <v>44</v>
      </c>
      <c r="E30" s="61"/>
      <c r="F30" s="67"/>
      <c r="G30" s="45"/>
      <c r="H30" s="46"/>
      <c r="I30" s="73" t="s">
        <v>45</v>
      </c>
    </row>
    <row r="31" spans="2:13" ht="24.75" customHeight="1">
      <c r="B31" s="57"/>
      <c r="C31" s="56"/>
      <c r="D31" s="62" t="s">
        <v>46</v>
      </c>
      <c r="E31" s="68" t="s">
        <v>35</v>
      </c>
      <c r="F31" s="67"/>
      <c r="G31" s="45"/>
      <c r="H31" s="44">
        <f>H30</f>
        <v>0</v>
      </c>
      <c r="I31" s="74" t="s">
        <v>40</v>
      </c>
    </row>
    <row r="32" spans="2:13" ht="24.75" customHeight="1">
      <c r="B32" s="57"/>
      <c r="C32" s="56"/>
      <c r="D32" s="62"/>
      <c r="E32" s="68" t="s">
        <v>36</v>
      </c>
      <c r="F32" s="67"/>
      <c r="G32" s="45"/>
      <c r="H32" s="45">
        <v>0</v>
      </c>
      <c r="I32" s="74" t="s">
        <v>40</v>
      </c>
    </row>
    <row r="33" spans="2:10" ht="24.75" customHeight="1">
      <c r="B33" s="57"/>
      <c r="C33" s="56"/>
      <c r="D33" s="62"/>
      <c r="E33" s="66" t="s">
        <v>37</v>
      </c>
      <c r="F33" s="69"/>
      <c r="G33" s="43"/>
      <c r="H33" s="59"/>
      <c r="I33" s="74" t="s">
        <v>40</v>
      </c>
    </row>
    <row r="34" spans="2:10" ht="24">
      <c r="B34" s="57"/>
      <c r="C34" s="56"/>
      <c r="D34" s="42"/>
      <c r="E34" s="38"/>
      <c r="F34" s="38"/>
      <c r="G34" s="63" t="s">
        <v>47</v>
      </c>
      <c r="H34" s="70">
        <f>SUM(H31-H32+H33)</f>
        <v>0</v>
      </c>
      <c r="I34" s="74" t="s">
        <v>40</v>
      </c>
    </row>
    <row r="35" spans="2:10" ht="24">
      <c r="B35" s="57"/>
      <c r="C35" s="56"/>
      <c r="D35" s="12"/>
      <c r="E35" s="12"/>
      <c r="F35" s="12"/>
      <c r="G35" s="12"/>
      <c r="H35" s="12"/>
      <c r="I35" s="53"/>
    </row>
    <row r="36" spans="2:10" ht="24">
      <c r="B36" s="57"/>
      <c r="C36" s="56"/>
      <c r="D36" s="12"/>
      <c r="E36" s="12"/>
      <c r="F36" s="12"/>
      <c r="G36" s="12"/>
      <c r="H36" s="12"/>
      <c r="I36" s="12"/>
    </row>
    <row r="37" spans="2:10" ht="24">
      <c r="B37" s="57"/>
      <c r="C37" s="56"/>
      <c r="D37" s="12"/>
      <c r="E37" s="12"/>
      <c r="F37" s="12"/>
      <c r="G37" s="12"/>
      <c r="H37" s="12"/>
      <c r="I37" s="12"/>
    </row>
    <row r="38" spans="2:10" ht="24">
      <c r="B38" s="57"/>
      <c r="C38" s="56"/>
      <c r="D38" s="12"/>
      <c r="E38" s="12"/>
      <c r="F38" s="12"/>
      <c r="G38" s="12"/>
      <c r="H38" s="12"/>
      <c r="I38" s="54"/>
    </row>
    <row r="39" spans="2:10" s="11" customFormat="1" ht="20.25" customHeight="1">
      <c r="B39" s="57"/>
      <c r="C39" s="58"/>
      <c r="D39" s="12"/>
      <c r="E39" s="12"/>
      <c r="F39" s="12"/>
      <c r="G39" s="12"/>
      <c r="H39" s="12"/>
      <c r="I39" s="12"/>
      <c r="J39" s="18"/>
    </row>
    <row r="40" spans="2:10" s="11" customFormat="1" ht="20.25" customHeight="1">
      <c r="B40" s="57"/>
      <c r="C40" s="58"/>
      <c r="D40" s="12"/>
      <c r="E40" s="12"/>
      <c r="F40" s="12"/>
      <c r="G40" s="12"/>
      <c r="H40" s="12"/>
      <c r="I40" s="12"/>
    </row>
    <row r="41" spans="2:10" s="11" customFormat="1" ht="20.25" customHeight="1">
      <c r="B41" s="57"/>
      <c r="C41" s="58"/>
      <c r="D41" s="12"/>
      <c r="E41" s="12"/>
      <c r="F41" s="12"/>
      <c r="G41" s="12"/>
      <c r="H41" s="12"/>
      <c r="I41" s="12"/>
    </row>
    <row r="42" spans="2:10" s="11" customFormat="1" ht="20.25" customHeight="1">
      <c r="B42" s="57"/>
      <c r="C42" s="58"/>
      <c r="D42" s="12"/>
      <c r="E42" s="12"/>
      <c r="F42" s="12"/>
      <c r="G42" s="12"/>
      <c r="H42" s="12"/>
      <c r="I42" s="12"/>
    </row>
    <row r="43" spans="2:10" ht="24">
      <c r="B43" s="1"/>
      <c r="C43" s="1"/>
      <c r="D43" s="1"/>
      <c r="E43" s="1"/>
      <c r="F43" s="1"/>
      <c r="G43" s="12"/>
      <c r="H43" s="1"/>
      <c r="I43" s="12"/>
    </row>
    <row r="44" spans="2:10" ht="24">
      <c r="B44" s="12"/>
      <c r="C44" s="12"/>
      <c r="D44" s="12"/>
      <c r="E44" s="12"/>
      <c r="F44" s="12"/>
      <c r="G44" s="12"/>
      <c r="H44" s="12"/>
      <c r="I44" s="41"/>
    </row>
    <row r="45" spans="2:10" ht="24">
      <c r="B45" s="12"/>
      <c r="C45" s="12"/>
      <c r="D45" s="12"/>
      <c r="E45" s="12"/>
      <c r="F45" s="39"/>
      <c r="G45" s="39"/>
      <c r="H45" s="40"/>
      <c r="I45" s="39"/>
    </row>
  </sheetData>
  <mergeCells count="9">
    <mergeCell ref="E27:H27"/>
    <mergeCell ref="E29:H29"/>
    <mergeCell ref="I2:J2"/>
    <mergeCell ref="B6:D6"/>
    <mergeCell ref="G15:G16"/>
    <mergeCell ref="H16:J16"/>
    <mergeCell ref="H17:J17"/>
    <mergeCell ref="B22:I23"/>
    <mergeCell ref="E28:H28"/>
  </mergeCells>
  <phoneticPr fontId="7"/>
  <dataValidations count="1">
    <dataValidation allowBlank="1" showInputMessage="1" showErrorMessage="1" sqref="H2" xr:uid="{71529FD7-87F1-794D-8F0A-E6C5199C16EB}"/>
  </dataValidations>
  <pageMargins left="0.7" right="0.7" top="0.75" bottom="0.75" header="0.3" footer="0.3"/>
  <pageSetup paperSize="9" scale="77"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77795-A4A5-DA43-8387-C9902371D7A9}">
  <sheetPr codeName="Sheet31">
    <tabColor theme="4"/>
    <pageSetUpPr fitToPage="1"/>
  </sheetPr>
  <dimension ref="B1:M45"/>
  <sheetViews>
    <sheetView tabSelected="1" topLeftCell="A20" zoomScaleNormal="100" workbookViewId="0">
      <selection activeCell="L20" sqref="L20"/>
    </sheetView>
  </sheetViews>
  <sheetFormatPr baseColWidth="10" defaultColWidth="8.83203125" defaultRowHeight="18"/>
  <cols>
    <col min="1" max="1" width="8.1640625" customWidth="1"/>
    <col min="2" max="2" width="4.33203125" customWidth="1"/>
    <col min="3" max="3" width="8.5" customWidth="1"/>
    <col min="4" max="4" width="17.1640625" customWidth="1"/>
    <col min="5" max="5" width="13.6640625" customWidth="1"/>
    <col min="6" max="6" width="17.1640625" customWidth="1"/>
    <col min="7" max="7" width="13.6640625" customWidth="1"/>
    <col min="8" max="8" width="17.1640625" customWidth="1"/>
    <col min="9" max="9" width="6.5" customWidth="1"/>
    <col min="10" max="10" width="6.6640625" customWidth="1"/>
    <col min="11" max="11" width="11.1640625" customWidth="1"/>
    <col min="12" max="12" width="6.6640625" customWidth="1"/>
    <col min="13" max="13" width="15.83203125" customWidth="1"/>
    <col min="14" max="14" width="17.6640625" customWidth="1"/>
    <col min="15" max="15" width="18.1640625" customWidth="1"/>
  </cols>
  <sheetData>
    <row r="1" spans="2:13">
      <c r="I1" s="10"/>
    </row>
    <row r="2" spans="2:13" ht="24">
      <c r="B2" s="1"/>
      <c r="G2" s="87"/>
      <c r="H2" s="88"/>
      <c r="I2" s="130"/>
      <c r="J2" s="130"/>
    </row>
    <row r="3" spans="2:13" ht="24" customHeight="1">
      <c r="B3" s="76"/>
      <c r="C3" s="76"/>
      <c r="D3" s="76"/>
      <c r="E3" s="76"/>
      <c r="G3" s="87"/>
      <c r="H3" s="88"/>
      <c r="I3" s="88"/>
    </row>
    <row r="4" spans="2:13" ht="18.75" customHeight="1">
      <c r="B4" s="76"/>
      <c r="C4" s="76"/>
      <c r="D4" s="76"/>
      <c r="E4" s="76"/>
    </row>
    <row r="5" spans="2:13" ht="24">
      <c r="B5" s="33"/>
      <c r="C5" s="33"/>
      <c r="D5" s="33"/>
    </row>
    <row r="6" spans="2:13" ht="45">
      <c r="B6" s="131"/>
      <c r="C6" s="131"/>
      <c r="D6" s="131"/>
      <c r="E6" s="1"/>
      <c r="F6" s="86" t="s">
        <v>137</v>
      </c>
    </row>
    <row r="7" spans="2:13" ht="24">
      <c r="B7" s="1" t="s">
        <v>20</v>
      </c>
      <c r="C7" s="12"/>
      <c r="D7" s="90">
        <v>2294000812</v>
      </c>
      <c r="E7" s="13"/>
    </row>
    <row r="8" spans="2:13" ht="24">
      <c r="B8" s="12" t="s">
        <v>21</v>
      </c>
      <c r="C8" s="12"/>
      <c r="D8" s="12" t="str">
        <f>受給者情報!G8</f>
        <v>中島純子</v>
      </c>
      <c r="E8" t="s">
        <v>41</v>
      </c>
    </row>
    <row r="12" spans="2:13" ht="31">
      <c r="E12" s="52" t="s">
        <v>22</v>
      </c>
      <c r="F12" s="52"/>
      <c r="G12" s="52"/>
    </row>
    <row r="13" spans="2:13" ht="24">
      <c r="I13" s="14"/>
      <c r="M13" s="37"/>
    </row>
    <row r="14" spans="2:13">
      <c r="M14" s="37"/>
    </row>
    <row r="15" spans="2:13" ht="24" customHeight="1">
      <c r="G15" s="132" t="s">
        <v>23</v>
      </c>
      <c r="H15" s="49" t="s">
        <v>24</v>
      </c>
      <c r="I15" s="49"/>
      <c r="M15" s="37"/>
    </row>
    <row r="16" spans="2:13" ht="24" customHeight="1">
      <c r="G16" s="132"/>
      <c r="H16" s="133" t="s">
        <v>25</v>
      </c>
      <c r="I16" s="133"/>
      <c r="J16" s="133"/>
      <c r="M16" s="37"/>
    </row>
    <row r="17" spans="2:13" ht="40.5" customHeight="1">
      <c r="G17" s="50"/>
      <c r="H17" s="133" t="s">
        <v>27</v>
      </c>
      <c r="I17" s="133"/>
      <c r="J17" s="133"/>
      <c r="M17" s="37"/>
    </row>
    <row r="18" spans="2:13">
      <c r="G18" s="51" t="s">
        <v>28</v>
      </c>
      <c r="H18" s="51" t="str">
        <f>事業者情報!C5&amp;"　"&amp;事業者情報!C6</f>
        <v>代表取締役社長　澤田昌志</v>
      </c>
      <c r="M18" s="37"/>
    </row>
    <row r="19" spans="2:13">
      <c r="G19" s="51" t="s">
        <v>29</v>
      </c>
      <c r="H19" s="51" t="str">
        <f>事業者情報!C7&amp;""</f>
        <v>0566-63-6817</v>
      </c>
      <c r="M19" s="37"/>
    </row>
    <row r="20" spans="2:13">
      <c r="G20" s="51" t="s">
        <v>30</v>
      </c>
      <c r="H20" s="51" t="str">
        <f>事業者情報!C8&amp;""</f>
        <v>0566-63-6818</v>
      </c>
      <c r="M20" s="37"/>
    </row>
    <row r="21" spans="2:13">
      <c r="M21" s="37"/>
    </row>
    <row r="22" spans="2:13" ht="24" customHeight="1">
      <c r="B22" s="134" t="s">
        <v>135</v>
      </c>
      <c r="C22" s="134"/>
      <c r="D22" s="134"/>
      <c r="E22" s="134"/>
      <c r="F22" s="134"/>
      <c r="G22" s="134"/>
      <c r="H22" s="134"/>
      <c r="I22" s="134"/>
      <c r="M22" s="37"/>
    </row>
    <row r="23" spans="2:13" ht="24" customHeight="1">
      <c r="B23" s="134"/>
      <c r="C23" s="134"/>
      <c r="D23" s="134"/>
      <c r="E23" s="134"/>
      <c r="F23" s="134"/>
      <c r="G23" s="134"/>
      <c r="H23" s="134"/>
      <c r="I23" s="134"/>
      <c r="M23" s="37"/>
    </row>
    <row r="25" spans="2:13" ht="27">
      <c r="C25" s="98">
        <v>9</v>
      </c>
      <c r="D25" s="98" t="s">
        <v>173</v>
      </c>
      <c r="E25" s="71" t="s">
        <v>32</v>
      </c>
      <c r="F25" s="72">
        <f>H34</f>
        <v>58369</v>
      </c>
      <c r="G25" s="16" t="s">
        <v>33</v>
      </c>
    </row>
    <row r="27" spans="2:13" ht="24.75" customHeight="1">
      <c r="B27" s="55"/>
      <c r="C27" s="56"/>
      <c r="D27" s="64" t="s">
        <v>42</v>
      </c>
      <c r="E27" s="136" t="s">
        <v>166</v>
      </c>
      <c r="F27" s="124"/>
      <c r="G27" s="124"/>
      <c r="H27" s="125"/>
      <c r="I27" s="12"/>
    </row>
    <row r="28" spans="2:13" ht="24.75" customHeight="1">
      <c r="B28" s="55"/>
      <c r="C28" s="56"/>
      <c r="D28" s="60" t="s">
        <v>139</v>
      </c>
      <c r="E28" s="135" t="s">
        <v>104</v>
      </c>
      <c r="F28" s="124"/>
      <c r="G28" s="124"/>
      <c r="H28" s="125"/>
      <c r="I28" s="12"/>
    </row>
    <row r="29" spans="2:13" ht="24.75" customHeight="1">
      <c r="B29" s="57"/>
      <c r="C29" s="56"/>
      <c r="D29" s="60" t="s">
        <v>43</v>
      </c>
      <c r="E29" s="126">
        <v>45981</v>
      </c>
      <c r="F29" s="124"/>
      <c r="G29" s="124"/>
      <c r="H29" s="125"/>
      <c r="I29" s="53"/>
    </row>
    <row r="30" spans="2:13" ht="24.75" customHeight="1">
      <c r="B30" s="57"/>
      <c r="C30" s="56"/>
      <c r="D30" s="65" t="s">
        <v>44</v>
      </c>
      <c r="E30" s="61"/>
      <c r="F30" s="67"/>
      <c r="G30" s="45"/>
      <c r="H30" s="104">
        <v>58369</v>
      </c>
      <c r="I30" s="73" t="s">
        <v>45</v>
      </c>
    </row>
    <row r="31" spans="2:13" ht="24.75" customHeight="1">
      <c r="B31" s="57"/>
      <c r="C31" s="56"/>
      <c r="D31" s="62" t="s">
        <v>46</v>
      </c>
      <c r="E31" s="68" t="s">
        <v>35</v>
      </c>
      <c r="F31" s="67"/>
      <c r="G31" s="45"/>
      <c r="H31" s="101">
        <f>H30</f>
        <v>58369</v>
      </c>
      <c r="I31" s="74" t="s">
        <v>40</v>
      </c>
    </row>
    <row r="32" spans="2:13" ht="24.75" customHeight="1">
      <c r="B32" s="57"/>
      <c r="C32" s="56"/>
      <c r="D32" s="62"/>
      <c r="E32" s="68" t="s">
        <v>36</v>
      </c>
      <c r="F32" s="67"/>
      <c r="G32" s="45"/>
      <c r="H32" s="102">
        <v>0</v>
      </c>
      <c r="I32" s="74" t="s">
        <v>40</v>
      </c>
    </row>
    <row r="33" spans="2:10" ht="24.75" customHeight="1">
      <c r="B33" s="57"/>
      <c r="C33" s="56"/>
      <c r="D33" s="62"/>
      <c r="E33" s="66" t="s">
        <v>37</v>
      </c>
      <c r="F33" s="69"/>
      <c r="G33" s="43"/>
      <c r="H33" s="103"/>
      <c r="I33" s="74" t="s">
        <v>40</v>
      </c>
    </row>
    <row r="34" spans="2:10" ht="24">
      <c r="B34" s="57"/>
      <c r="C34" s="56"/>
      <c r="D34" s="42"/>
      <c r="E34" s="38"/>
      <c r="F34" s="38"/>
      <c r="G34" s="63" t="s">
        <v>47</v>
      </c>
      <c r="H34" s="96">
        <f>SUM(H31-H32+H33)</f>
        <v>58369</v>
      </c>
      <c r="I34" s="74" t="s">
        <v>40</v>
      </c>
    </row>
    <row r="35" spans="2:10" ht="24">
      <c r="B35" s="57"/>
      <c r="C35" s="56"/>
      <c r="D35" s="12"/>
      <c r="E35" s="12"/>
      <c r="F35" s="12"/>
      <c r="G35" s="12"/>
      <c r="H35" s="12"/>
      <c r="I35" s="53"/>
    </row>
    <row r="36" spans="2:10" ht="24">
      <c r="B36" s="57"/>
      <c r="C36" s="56"/>
      <c r="D36" s="12"/>
      <c r="E36" s="12"/>
      <c r="F36" s="12"/>
      <c r="G36" s="12"/>
      <c r="H36" s="12"/>
      <c r="I36" s="12"/>
    </row>
    <row r="37" spans="2:10" ht="24">
      <c r="B37" s="57"/>
      <c r="C37" s="56"/>
      <c r="D37" s="12"/>
      <c r="E37" s="12"/>
      <c r="F37" s="12"/>
      <c r="G37" s="12"/>
      <c r="H37" s="12"/>
      <c r="I37" s="12"/>
    </row>
    <row r="38" spans="2:10" ht="24">
      <c r="B38" s="57"/>
      <c r="C38" s="56"/>
      <c r="D38" s="12"/>
      <c r="E38" s="12"/>
      <c r="F38" s="12"/>
      <c r="G38" s="12"/>
      <c r="H38" s="12"/>
      <c r="I38" s="54"/>
    </row>
    <row r="39" spans="2:10" s="11" customFormat="1" ht="20.25" customHeight="1">
      <c r="B39" s="57"/>
      <c r="C39" s="58"/>
      <c r="D39" s="12"/>
      <c r="E39" s="12"/>
      <c r="F39" s="12"/>
      <c r="G39" s="12"/>
      <c r="H39" s="12"/>
      <c r="I39" s="12"/>
      <c r="J39" s="18"/>
    </row>
    <row r="40" spans="2:10" s="11" customFormat="1" ht="20.25" customHeight="1">
      <c r="B40" s="57"/>
      <c r="C40" s="58"/>
      <c r="D40" s="12"/>
      <c r="E40" s="12"/>
      <c r="F40" s="12"/>
      <c r="G40" s="12"/>
      <c r="H40" s="12"/>
      <c r="I40" s="12"/>
    </row>
    <row r="41" spans="2:10" s="11" customFormat="1" ht="20.25" customHeight="1">
      <c r="B41" s="57"/>
      <c r="C41" s="58"/>
      <c r="D41" s="12"/>
      <c r="E41" s="12"/>
      <c r="F41" s="12"/>
      <c r="G41" s="12"/>
      <c r="H41" s="12"/>
      <c r="I41" s="12"/>
    </row>
    <row r="42" spans="2:10" s="11" customFormat="1" ht="20.25" customHeight="1">
      <c r="B42" s="57"/>
      <c r="C42" s="58"/>
      <c r="D42" s="12"/>
      <c r="E42" s="12"/>
      <c r="F42" s="12"/>
      <c r="G42" s="12"/>
      <c r="H42" s="12"/>
      <c r="I42" s="12"/>
    </row>
    <row r="43" spans="2:10" ht="24">
      <c r="B43" s="1"/>
      <c r="C43" s="1"/>
      <c r="D43" s="1"/>
      <c r="E43" s="1"/>
      <c r="F43" s="1"/>
      <c r="G43" s="12"/>
      <c r="H43" s="1"/>
      <c r="I43" s="12"/>
    </row>
    <row r="44" spans="2:10" ht="24">
      <c r="B44" s="12"/>
      <c r="C44" s="12"/>
      <c r="D44" s="12"/>
      <c r="E44" s="12"/>
      <c r="F44" s="12"/>
      <c r="G44" s="12"/>
      <c r="H44" s="12"/>
      <c r="I44" s="41"/>
    </row>
    <row r="45" spans="2:10" ht="24">
      <c r="B45" s="12"/>
      <c r="C45" s="12"/>
      <c r="D45" s="12"/>
      <c r="E45" s="12"/>
      <c r="F45" s="39"/>
      <c r="G45" s="39"/>
      <c r="H45" s="40"/>
      <c r="I45" s="39"/>
    </row>
  </sheetData>
  <mergeCells count="9">
    <mergeCell ref="E27:H27"/>
    <mergeCell ref="E29:H29"/>
    <mergeCell ref="I2:J2"/>
    <mergeCell ref="B6:D6"/>
    <mergeCell ref="G15:G16"/>
    <mergeCell ref="H16:J16"/>
    <mergeCell ref="H17:J17"/>
    <mergeCell ref="B22:I23"/>
    <mergeCell ref="E28:H28"/>
  </mergeCells>
  <phoneticPr fontId="7"/>
  <dataValidations count="1">
    <dataValidation allowBlank="1" showInputMessage="1" showErrorMessage="1" sqref="H2" xr:uid="{55B2F3D3-0C4B-5840-8B72-BC2339395639}"/>
  </dataValidations>
  <pageMargins left="0.7" right="0.7" top="0.75" bottom="0.75" header="0.3" footer="0.3"/>
  <pageSetup paperSize="9" scale="77"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EE95D-B288-DF4D-A2C3-5D44560EF3B0}">
  <sheetPr codeName="Sheet32">
    <tabColor theme="4"/>
    <pageSetUpPr fitToPage="1"/>
  </sheetPr>
  <dimension ref="B1:M45"/>
  <sheetViews>
    <sheetView topLeftCell="A11" zoomScaleNormal="100" workbookViewId="0">
      <selection activeCell="L33" sqref="L33"/>
    </sheetView>
  </sheetViews>
  <sheetFormatPr baseColWidth="10" defaultColWidth="8.83203125" defaultRowHeight="18"/>
  <cols>
    <col min="1" max="1" width="8.1640625" customWidth="1"/>
    <col min="2" max="2" width="4.33203125" customWidth="1"/>
    <col min="3" max="3" width="8.5" customWidth="1"/>
    <col min="4" max="4" width="17.1640625" customWidth="1"/>
    <col min="5" max="5" width="13.6640625" customWidth="1"/>
    <col min="6" max="6" width="17.1640625" customWidth="1"/>
    <col min="7" max="7" width="13.6640625" customWidth="1"/>
    <col min="8" max="8" width="17.1640625" customWidth="1"/>
    <col min="9" max="9" width="6.5" customWidth="1"/>
    <col min="10" max="10" width="6.6640625" customWidth="1"/>
    <col min="11" max="11" width="11.1640625" customWidth="1"/>
    <col min="12" max="12" width="6.6640625" customWidth="1"/>
    <col min="13" max="13" width="15.83203125" customWidth="1"/>
    <col min="14" max="14" width="17.6640625" customWidth="1"/>
    <col min="15" max="15" width="18.1640625" customWidth="1"/>
  </cols>
  <sheetData>
    <row r="1" spans="2:13">
      <c r="I1" s="10"/>
    </row>
    <row r="2" spans="2:13" ht="24">
      <c r="B2" s="1"/>
      <c r="G2" s="87"/>
      <c r="H2" s="88"/>
      <c r="I2" s="130"/>
      <c r="J2" s="130"/>
    </row>
    <row r="3" spans="2:13" ht="24" customHeight="1">
      <c r="B3" s="76"/>
      <c r="C3" s="76"/>
      <c r="D3" s="76"/>
      <c r="E3" s="76"/>
      <c r="G3" s="87"/>
      <c r="H3" s="88"/>
      <c r="I3" s="88"/>
    </row>
    <row r="4" spans="2:13" ht="18.75" customHeight="1">
      <c r="B4" s="76"/>
      <c r="C4" s="76"/>
      <c r="D4" s="76"/>
      <c r="E4" s="76"/>
    </row>
    <row r="5" spans="2:13" ht="24">
      <c r="B5" s="33"/>
      <c r="C5" s="33"/>
      <c r="D5" s="33"/>
    </row>
    <row r="6" spans="2:13" ht="45">
      <c r="B6" s="131"/>
      <c r="C6" s="131"/>
      <c r="D6" s="131"/>
      <c r="E6" s="1"/>
      <c r="F6" s="86" t="s">
        <v>137</v>
      </c>
    </row>
    <row r="7" spans="2:13" ht="24">
      <c r="B7" s="1" t="s">
        <v>20</v>
      </c>
      <c r="C7" s="12"/>
      <c r="D7" s="90">
        <v>3000015655</v>
      </c>
      <c r="E7" s="13"/>
    </row>
    <row r="8" spans="2:13" ht="24">
      <c r="B8" s="12" t="s">
        <v>21</v>
      </c>
      <c r="C8" s="12"/>
      <c r="D8" s="12" t="str">
        <f>受給者情報!G9</f>
        <v>小林萌楓</v>
      </c>
      <c r="E8" t="s">
        <v>41</v>
      </c>
    </row>
    <row r="12" spans="2:13" ht="31">
      <c r="E12" s="52" t="s">
        <v>22</v>
      </c>
      <c r="F12" s="52"/>
      <c r="G12" s="52"/>
    </row>
    <row r="13" spans="2:13" ht="24">
      <c r="I13" s="14"/>
      <c r="M13" s="37"/>
    </row>
    <row r="14" spans="2:13">
      <c r="M14" s="37"/>
    </row>
    <row r="15" spans="2:13" ht="24" customHeight="1">
      <c r="G15" s="132" t="s">
        <v>23</v>
      </c>
      <c r="H15" s="49" t="s">
        <v>24</v>
      </c>
      <c r="I15" s="49"/>
      <c r="M15" s="37"/>
    </row>
    <row r="16" spans="2:13" ht="24" customHeight="1">
      <c r="G16" s="132"/>
      <c r="H16" s="133" t="s">
        <v>25</v>
      </c>
      <c r="I16" s="133"/>
      <c r="J16" s="133"/>
      <c r="M16" s="37"/>
    </row>
    <row r="17" spans="2:13" ht="40.5" customHeight="1">
      <c r="G17" s="50"/>
      <c r="H17" s="133" t="s">
        <v>27</v>
      </c>
      <c r="I17" s="133"/>
      <c r="J17" s="133"/>
      <c r="M17" s="37"/>
    </row>
    <row r="18" spans="2:13">
      <c r="G18" s="51" t="s">
        <v>28</v>
      </c>
      <c r="H18" s="51" t="str">
        <f>事業者情報!C5&amp;"　"&amp;事業者情報!C6</f>
        <v>代表取締役社長　澤田昌志</v>
      </c>
      <c r="M18" s="37"/>
    </row>
    <row r="19" spans="2:13">
      <c r="G19" s="51" t="s">
        <v>29</v>
      </c>
      <c r="H19" s="51" t="str">
        <f>事業者情報!C7&amp;""</f>
        <v>0566-63-6817</v>
      </c>
      <c r="M19" s="37"/>
    </row>
    <row r="20" spans="2:13">
      <c r="G20" s="51" t="s">
        <v>30</v>
      </c>
      <c r="H20" s="51" t="str">
        <f>事業者情報!C8&amp;""</f>
        <v>0566-63-6818</v>
      </c>
      <c r="M20" s="37"/>
    </row>
    <row r="21" spans="2:13">
      <c r="M21" s="37"/>
    </row>
    <row r="22" spans="2:13" ht="24" customHeight="1">
      <c r="B22" s="134" t="s">
        <v>31</v>
      </c>
      <c r="C22" s="134"/>
      <c r="D22" s="134"/>
      <c r="E22" s="134"/>
      <c r="F22" s="134"/>
      <c r="G22" s="134"/>
      <c r="H22" s="134"/>
      <c r="I22" s="134"/>
      <c r="M22" s="37"/>
    </row>
    <row r="23" spans="2:13" ht="24" customHeight="1">
      <c r="B23" s="134"/>
      <c r="C23" s="134"/>
      <c r="D23" s="134"/>
      <c r="E23" s="134"/>
      <c r="F23" s="134"/>
      <c r="G23" s="134"/>
      <c r="H23" s="134"/>
      <c r="I23" s="134"/>
      <c r="M23" s="37"/>
    </row>
    <row r="25" spans="2:13" ht="27">
      <c r="C25" s="98">
        <v>10</v>
      </c>
      <c r="D25" s="98" t="s">
        <v>173</v>
      </c>
      <c r="E25" s="71" t="s">
        <v>32</v>
      </c>
      <c r="F25" s="72">
        <f>H34</f>
        <v>0</v>
      </c>
      <c r="G25" s="16" t="s">
        <v>33</v>
      </c>
    </row>
    <row r="27" spans="2:13" ht="24.75" customHeight="1">
      <c r="B27" s="55"/>
      <c r="C27" s="56"/>
      <c r="D27" s="64" t="s">
        <v>42</v>
      </c>
      <c r="E27" s="136" t="s">
        <v>133</v>
      </c>
      <c r="F27" s="124"/>
      <c r="G27" s="124"/>
      <c r="H27" s="125"/>
      <c r="I27" s="12"/>
    </row>
    <row r="28" spans="2:13" ht="24.75" customHeight="1">
      <c r="B28" s="55"/>
      <c r="C28" s="56"/>
      <c r="D28" s="60" t="s">
        <v>139</v>
      </c>
      <c r="E28" s="135" t="s">
        <v>104</v>
      </c>
      <c r="F28" s="124"/>
      <c r="G28" s="124"/>
      <c r="H28" s="125"/>
      <c r="I28" s="12"/>
    </row>
    <row r="29" spans="2:13" ht="24.75" customHeight="1">
      <c r="B29" s="57"/>
      <c r="C29" s="56"/>
      <c r="D29" s="60" t="s">
        <v>43</v>
      </c>
      <c r="E29" s="126">
        <v>46010</v>
      </c>
      <c r="F29" s="124"/>
      <c r="G29" s="124"/>
      <c r="H29" s="125"/>
      <c r="I29" s="53"/>
    </row>
    <row r="30" spans="2:13" ht="24.75" customHeight="1">
      <c r="B30" s="57"/>
      <c r="C30" s="56"/>
      <c r="D30" s="65" t="s">
        <v>44</v>
      </c>
      <c r="E30" s="61"/>
      <c r="F30" s="67"/>
      <c r="G30" s="45"/>
      <c r="H30" s="104"/>
      <c r="I30" s="73" t="s">
        <v>45</v>
      </c>
    </row>
    <row r="31" spans="2:13" ht="24.75" customHeight="1">
      <c r="B31" s="57"/>
      <c r="C31" s="56"/>
      <c r="D31" s="62" t="s">
        <v>46</v>
      </c>
      <c r="E31" s="68" t="s">
        <v>35</v>
      </c>
      <c r="F31" s="67"/>
      <c r="G31" s="45"/>
      <c r="H31" s="101">
        <f>H30</f>
        <v>0</v>
      </c>
      <c r="I31" s="74" t="s">
        <v>40</v>
      </c>
    </row>
    <row r="32" spans="2:13" ht="24.75" customHeight="1">
      <c r="B32" s="57"/>
      <c r="C32" s="56"/>
      <c r="D32" s="62"/>
      <c r="E32" s="68" t="s">
        <v>36</v>
      </c>
      <c r="F32" s="67"/>
      <c r="G32" s="45"/>
      <c r="H32" s="102">
        <v>0</v>
      </c>
      <c r="I32" s="74" t="s">
        <v>40</v>
      </c>
    </row>
    <row r="33" spans="2:10" ht="24.75" customHeight="1">
      <c r="B33" s="57"/>
      <c r="C33" s="56"/>
      <c r="D33" s="62"/>
      <c r="E33" s="66" t="s">
        <v>37</v>
      </c>
      <c r="F33" s="69"/>
      <c r="G33" s="43"/>
      <c r="H33" s="103">
        <v>0</v>
      </c>
      <c r="I33" s="74" t="s">
        <v>40</v>
      </c>
    </row>
    <row r="34" spans="2:10" ht="24">
      <c r="B34" s="57"/>
      <c r="C34" s="56"/>
      <c r="D34" s="42"/>
      <c r="E34" s="38"/>
      <c r="F34" s="38"/>
      <c r="G34" s="63" t="s">
        <v>47</v>
      </c>
      <c r="H34" s="96">
        <f>SUM(H31-H32+H33)</f>
        <v>0</v>
      </c>
      <c r="I34" s="74" t="s">
        <v>40</v>
      </c>
    </row>
    <row r="35" spans="2:10" ht="24">
      <c r="B35" s="57"/>
      <c r="C35" s="56"/>
      <c r="D35" s="12"/>
      <c r="E35" s="12"/>
      <c r="F35" s="12"/>
      <c r="G35" s="12"/>
      <c r="H35" s="12"/>
      <c r="I35" s="53"/>
    </row>
    <row r="36" spans="2:10" ht="24">
      <c r="B36" s="57"/>
      <c r="C36" s="56"/>
      <c r="D36" s="12"/>
      <c r="E36" s="12"/>
      <c r="F36" s="12"/>
      <c r="G36" s="12"/>
      <c r="H36" s="12"/>
      <c r="I36" s="12"/>
    </row>
    <row r="37" spans="2:10" ht="24">
      <c r="B37" s="57"/>
      <c r="C37" s="56"/>
      <c r="D37" s="12"/>
      <c r="E37" s="12"/>
      <c r="F37" s="12"/>
      <c r="G37" s="12"/>
      <c r="H37" s="12"/>
      <c r="I37" s="12"/>
    </row>
    <row r="38" spans="2:10" ht="24">
      <c r="B38" s="57"/>
      <c r="C38" s="56"/>
      <c r="D38" s="12"/>
      <c r="E38" s="12"/>
      <c r="F38" s="12"/>
      <c r="G38" s="12"/>
      <c r="H38" s="12"/>
      <c r="I38" s="54"/>
    </row>
    <row r="39" spans="2:10" s="11" customFormat="1" ht="20.25" customHeight="1">
      <c r="B39" s="57"/>
      <c r="C39" s="58"/>
      <c r="D39" s="12"/>
      <c r="E39" s="12"/>
      <c r="F39" s="12"/>
      <c r="G39" s="12"/>
      <c r="H39" s="12"/>
      <c r="I39" s="12"/>
      <c r="J39" s="18"/>
    </row>
    <row r="40" spans="2:10" s="11" customFormat="1" ht="20.25" customHeight="1">
      <c r="B40" s="57"/>
      <c r="C40" s="58"/>
      <c r="D40" s="12"/>
      <c r="E40" s="12"/>
      <c r="F40" s="12"/>
      <c r="G40" s="12"/>
      <c r="H40" s="12"/>
      <c r="I40" s="12"/>
    </row>
    <row r="41" spans="2:10" s="11" customFormat="1" ht="20.25" customHeight="1">
      <c r="B41" s="57"/>
      <c r="C41" s="58"/>
      <c r="D41" s="12"/>
      <c r="E41" s="12"/>
      <c r="F41" s="12"/>
      <c r="G41" s="12"/>
      <c r="H41" s="12"/>
      <c r="I41" s="12"/>
    </row>
    <row r="42" spans="2:10" s="11" customFormat="1" ht="20.25" customHeight="1">
      <c r="B42" s="57"/>
      <c r="C42" s="58"/>
      <c r="D42" s="12"/>
      <c r="E42" s="12"/>
      <c r="F42" s="12"/>
      <c r="G42" s="12"/>
      <c r="H42" s="12"/>
      <c r="I42" s="12"/>
    </row>
    <row r="43" spans="2:10" ht="24">
      <c r="B43" s="1"/>
      <c r="C43" s="1"/>
      <c r="D43" s="1"/>
      <c r="E43" s="1"/>
      <c r="F43" s="1"/>
      <c r="G43" s="12"/>
      <c r="H43" s="1"/>
      <c r="I43" s="12"/>
    </row>
    <row r="44" spans="2:10" ht="24">
      <c r="B44" s="12"/>
      <c r="C44" s="12"/>
      <c r="D44" s="12"/>
      <c r="E44" s="12"/>
      <c r="F44" s="12"/>
      <c r="G44" s="12"/>
      <c r="H44" s="12"/>
      <c r="I44" s="41"/>
    </row>
    <row r="45" spans="2:10" ht="24">
      <c r="B45" s="12"/>
      <c r="C45" s="12"/>
      <c r="D45" s="12"/>
      <c r="E45" s="12"/>
      <c r="F45" s="39"/>
      <c r="G45" s="39"/>
      <c r="H45" s="40"/>
      <c r="I45" s="39"/>
    </row>
  </sheetData>
  <mergeCells count="9">
    <mergeCell ref="E27:H27"/>
    <mergeCell ref="E29:H29"/>
    <mergeCell ref="I2:J2"/>
    <mergeCell ref="B6:D6"/>
    <mergeCell ref="G15:G16"/>
    <mergeCell ref="H16:J16"/>
    <mergeCell ref="H17:J17"/>
    <mergeCell ref="B22:I23"/>
    <mergeCell ref="E28:H28"/>
  </mergeCells>
  <phoneticPr fontId="7"/>
  <dataValidations count="1">
    <dataValidation allowBlank="1" showInputMessage="1" showErrorMessage="1" sqref="H2" xr:uid="{2BE43883-7612-BC4F-BCD2-3A3B8222F9E2}"/>
  </dataValidations>
  <pageMargins left="0.7" right="0.7" top="0.75" bottom="0.75" header="0.3" footer="0.3"/>
  <pageSetup paperSize="9" scale="77"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A93C0-9374-A54F-B078-FAB3CD8B6EAE}">
  <sheetPr codeName="Sheet33">
    <tabColor theme="4"/>
    <pageSetUpPr fitToPage="1"/>
  </sheetPr>
  <dimension ref="B1:M45"/>
  <sheetViews>
    <sheetView topLeftCell="A16" zoomScaleNormal="100" workbookViewId="0">
      <selection activeCell="L33" sqref="L33"/>
    </sheetView>
  </sheetViews>
  <sheetFormatPr baseColWidth="10" defaultColWidth="8.83203125" defaultRowHeight="18"/>
  <cols>
    <col min="1" max="1" width="8.1640625" customWidth="1"/>
    <col min="2" max="2" width="4.33203125" customWidth="1"/>
    <col min="3" max="3" width="8.5" customWidth="1"/>
    <col min="4" max="4" width="17.1640625" customWidth="1"/>
    <col min="5" max="5" width="13.6640625" customWidth="1"/>
    <col min="6" max="6" width="17.1640625" customWidth="1"/>
    <col min="7" max="7" width="13.6640625" customWidth="1"/>
    <col min="8" max="8" width="17.1640625" customWidth="1"/>
    <col min="9" max="9" width="6.5" customWidth="1"/>
    <col min="10" max="10" width="6.6640625" customWidth="1"/>
    <col min="11" max="11" width="11.1640625" customWidth="1"/>
    <col min="12" max="12" width="6.6640625" customWidth="1"/>
    <col min="13" max="13" width="15.83203125" customWidth="1"/>
    <col min="14" max="14" width="17.6640625" customWidth="1"/>
    <col min="15" max="15" width="18.1640625" customWidth="1"/>
  </cols>
  <sheetData>
    <row r="1" spans="2:13">
      <c r="I1" s="10"/>
    </row>
    <row r="2" spans="2:13" ht="24">
      <c r="B2" s="1"/>
      <c r="G2" s="87"/>
      <c r="H2" s="88"/>
      <c r="I2" s="130"/>
      <c r="J2" s="130"/>
    </row>
    <row r="3" spans="2:13" ht="24" customHeight="1">
      <c r="B3" s="76"/>
      <c r="C3" s="76"/>
      <c r="D3" s="76"/>
      <c r="E3" s="76"/>
      <c r="G3" s="87"/>
      <c r="H3" s="88"/>
      <c r="I3" s="88"/>
    </row>
    <row r="4" spans="2:13" ht="18.75" customHeight="1">
      <c r="B4" s="76"/>
      <c r="C4" s="76"/>
      <c r="D4" s="76"/>
      <c r="E4" s="76"/>
    </row>
    <row r="5" spans="2:13" ht="24">
      <c r="B5" s="33"/>
      <c r="C5" s="33"/>
      <c r="D5" s="33"/>
    </row>
    <row r="6" spans="2:13" ht="45">
      <c r="B6" s="131"/>
      <c r="C6" s="131"/>
      <c r="D6" s="131"/>
      <c r="E6" s="1"/>
      <c r="F6" s="86" t="s">
        <v>137</v>
      </c>
    </row>
    <row r="7" spans="2:13" ht="24">
      <c r="B7" s="1" t="s">
        <v>20</v>
      </c>
      <c r="C7" s="12"/>
      <c r="D7" s="90">
        <v>3000006423</v>
      </c>
      <c r="E7" s="13"/>
    </row>
    <row r="8" spans="2:13" ht="24">
      <c r="B8" s="12" t="s">
        <v>21</v>
      </c>
      <c r="C8" s="12"/>
      <c r="D8" s="12" t="str">
        <f>受給者情報!G10</f>
        <v>中村安伸</v>
      </c>
      <c r="E8" t="s">
        <v>41</v>
      </c>
    </row>
    <row r="12" spans="2:13" ht="31">
      <c r="E12" s="52" t="s">
        <v>22</v>
      </c>
      <c r="F12" s="52"/>
      <c r="G12" s="52"/>
    </row>
    <row r="13" spans="2:13" ht="24">
      <c r="I13" s="14"/>
      <c r="M13" s="37"/>
    </row>
    <row r="14" spans="2:13">
      <c r="M14" s="37"/>
    </row>
    <row r="15" spans="2:13" ht="24" customHeight="1">
      <c r="G15" s="132" t="s">
        <v>23</v>
      </c>
      <c r="H15" s="49" t="s">
        <v>24</v>
      </c>
      <c r="I15" s="49"/>
      <c r="M15" s="37"/>
    </row>
    <row r="16" spans="2:13" ht="24" customHeight="1">
      <c r="G16" s="132"/>
      <c r="H16" s="133" t="s">
        <v>25</v>
      </c>
      <c r="I16" s="133"/>
      <c r="J16" s="133"/>
      <c r="M16" s="37"/>
    </row>
    <row r="17" spans="2:13" ht="40.5" customHeight="1">
      <c r="G17" s="50"/>
      <c r="H17" s="133" t="s">
        <v>27</v>
      </c>
      <c r="I17" s="133"/>
      <c r="J17" s="133"/>
      <c r="M17" s="37"/>
    </row>
    <row r="18" spans="2:13">
      <c r="G18" s="51" t="s">
        <v>28</v>
      </c>
      <c r="H18" s="51" t="str">
        <f>事業者情報!C5&amp;"　"&amp;事業者情報!C6</f>
        <v>代表取締役社長　澤田昌志</v>
      </c>
      <c r="M18" s="37"/>
    </row>
    <row r="19" spans="2:13">
      <c r="G19" s="51" t="s">
        <v>29</v>
      </c>
      <c r="H19" s="51" t="str">
        <f>事業者情報!C7&amp;""</f>
        <v>0566-63-6817</v>
      </c>
      <c r="M19" s="37"/>
    </row>
    <row r="20" spans="2:13">
      <c r="G20" s="51" t="s">
        <v>30</v>
      </c>
      <c r="H20" s="51" t="str">
        <f>事業者情報!C8&amp;""</f>
        <v>0566-63-6818</v>
      </c>
      <c r="M20" s="37"/>
    </row>
    <row r="21" spans="2:13">
      <c r="M21" s="37"/>
    </row>
    <row r="22" spans="2:13" ht="24" customHeight="1">
      <c r="B22" s="134" t="s">
        <v>135</v>
      </c>
      <c r="C22" s="134"/>
      <c r="D22" s="134"/>
      <c r="E22" s="134"/>
      <c r="F22" s="134"/>
      <c r="G22" s="134"/>
      <c r="H22" s="134"/>
      <c r="I22" s="134"/>
      <c r="M22" s="37"/>
    </row>
    <row r="23" spans="2:13" ht="24" customHeight="1">
      <c r="B23" s="134"/>
      <c r="C23" s="134"/>
      <c r="D23" s="134"/>
      <c r="E23" s="134"/>
      <c r="F23" s="134"/>
      <c r="G23" s="134"/>
      <c r="H23" s="134"/>
      <c r="I23" s="134"/>
      <c r="M23" s="37"/>
    </row>
    <row r="25" spans="2:13" ht="27">
      <c r="C25" s="98">
        <v>10</v>
      </c>
      <c r="D25" s="98" t="s">
        <v>173</v>
      </c>
      <c r="E25" s="71" t="s">
        <v>32</v>
      </c>
      <c r="F25" s="72">
        <f>H34</f>
        <v>0</v>
      </c>
      <c r="G25" s="16" t="s">
        <v>33</v>
      </c>
    </row>
    <row r="27" spans="2:13" ht="24.75" customHeight="1">
      <c r="B27" s="55"/>
      <c r="C27" s="56"/>
      <c r="D27" s="64" t="s">
        <v>42</v>
      </c>
      <c r="E27" s="136" t="s">
        <v>157</v>
      </c>
      <c r="F27" s="124"/>
      <c r="G27" s="124"/>
      <c r="H27" s="125"/>
      <c r="I27" s="12"/>
    </row>
    <row r="28" spans="2:13" ht="24.75" customHeight="1">
      <c r="B28" s="55"/>
      <c r="C28" s="56"/>
      <c r="D28" s="60" t="s">
        <v>139</v>
      </c>
      <c r="E28" s="135" t="s">
        <v>104</v>
      </c>
      <c r="F28" s="124"/>
      <c r="G28" s="124"/>
      <c r="H28" s="125"/>
      <c r="I28" s="12"/>
    </row>
    <row r="29" spans="2:13" ht="24.75" customHeight="1">
      <c r="B29" s="57"/>
      <c r="C29" s="56"/>
      <c r="D29" s="60" t="s">
        <v>43</v>
      </c>
      <c r="E29" s="126">
        <v>46010</v>
      </c>
      <c r="F29" s="124"/>
      <c r="G29" s="124"/>
      <c r="H29" s="125"/>
      <c r="I29" s="53"/>
    </row>
    <row r="30" spans="2:13" ht="24.75" customHeight="1">
      <c r="B30" s="57"/>
      <c r="C30" s="56"/>
      <c r="D30" s="65" t="s">
        <v>44</v>
      </c>
      <c r="E30" s="61"/>
      <c r="F30" s="67"/>
      <c r="G30" s="45"/>
      <c r="H30" s="46"/>
      <c r="I30" s="73" t="s">
        <v>45</v>
      </c>
    </row>
    <row r="31" spans="2:13" ht="24.75" customHeight="1">
      <c r="B31" s="57"/>
      <c r="C31" s="56"/>
      <c r="D31" s="62" t="s">
        <v>46</v>
      </c>
      <c r="E31" s="68" t="s">
        <v>35</v>
      </c>
      <c r="F31" s="67"/>
      <c r="G31" s="45"/>
      <c r="H31" s="44">
        <f>H30</f>
        <v>0</v>
      </c>
      <c r="I31" s="74" t="s">
        <v>40</v>
      </c>
    </row>
    <row r="32" spans="2:13" ht="24.75" customHeight="1">
      <c r="B32" s="57"/>
      <c r="C32" s="56"/>
      <c r="D32" s="62"/>
      <c r="E32" s="68" t="s">
        <v>36</v>
      </c>
      <c r="F32" s="67"/>
      <c r="G32" s="45"/>
      <c r="H32" s="45">
        <v>0</v>
      </c>
      <c r="I32" s="74" t="s">
        <v>40</v>
      </c>
    </row>
    <row r="33" spans="2:10" ht="24.75" customHeight="1">
      <c r="B33" s="57"/>
      <c r="C33" s="56"/>
      <c r="D33" s="62"/>
      <c r="E33" s="66" t="s">
        <v>37</v>
      </c>
      <c r="F33" s="69"/>
      <c r="G33" s="43"/>
      <c r="H33" s="59"/>
      <c r="I33" s="74" t="s">
        <v>40</v>
      </c>
    </row>
    <row r="34" spans="2:10" ht="24">
      <c r="B34" s="57"/>
      <c r="C34" s="56"/>
      <c r="D34" s="42"/>
      <c r="E34" s="38"/>
      <c r="F34" s="38"/>
      <c r="G34" s="63" t="s">
        <v>47</v>
      </c>
      <c r="H34" s="70">
        <f>SUM(H31-H32+H33)</f>
        <v>0</v>
      </c>
      <c r="I34" s="74" t="s">
        <v>40</v>
      </c>
    </row>
    <row r="35" spans="2:10" ht="24">
      <c r="B35" s="57"/>
      <c r="C35" s="56"/>
      <c r="D35" s="12"/>
      <c r="E35" s="12"/>
      <c r="F35" s="12"/>
      <c r="G35" s="12"/>
      <c r="H35" s="12"/>
      <c r="I35" s="53"/>
    </row>
    <row r="36" spans="2:10" ht="24">
      <c r="B36" s="57"/>
      <c r="C36" s="56"/>
      <c r="D36" s="12"/>
      <c r="E36" s="12"/>
      <c r="F36" s="12"/>
      <c r="G36" s="12"/>
      <c r="H36" s="12"/>
      <c r="I36" s="12"/>
    </row>
    <row r="37" spans="2:10" ht="24">
      <c r="B37" s="57"/>
      <c r="C37" s="56"/>
      <c r="D37" s="12"/>
      <c r="E37" s="12"/>
      <c r="F37" s="12"/>
      <c r="G37" s="12"/>
      <c r="H37" s="12"/>
      <c r="I37" s="12"/>
    </row>
    <row r="38" spans="2:10" ht="24">
      <c r="B38" s="57"/>
      <c r="C38" s="56"/>
      <c r="D38" s="12"/>
      <c r="E38" s="12"/>
      <c r="F38" s="12"/>
      <c r="G38" s="12"/>
      <c r="H38" s="12"/>
      <c r="I38" s="54"/>
    </row>
    <row r="39" spans="2:10" s="11" customFormat="1" ht="20.25" customHeight="1">
      <c r="B39" s="57"/>
      <c r="C39" s="58"/>
      <c r="D39" s="12"/>
      <c r="E39" s="12"/>
      <c r="F39" s="12"/>
      <c r="G39" s="12"/>
      <c r="H39" s="12"/>
      <c r="I39" s="12"/>
      <c r="J39" s="18"/>
    </row>
    <row r="40" spans="2:10" s="11" customFormat="1" ht="20.25" customHeight="1">
      <c r="B40" s="57"/>
      <c r="C40" s="58"/>
      <c r="D40" s="12"/>
      <c r="E40" s="12"/>
      <c r="F40" s="12"/>
      <c r="G40" s="12"/>
      <c r="H40" s="12"/>
      <c r="I40" s="12"/>
    </row>
    <row r="41" spans="2:10" s="11" customFormat="1" ht="20.25" customHeight="1">
      <c r="B41" s="57"/>
      <c r="C41" s="58"/>
      <c r="D41" s="12"/>
      <c r="E41" s="12"/>
      <c r="F41" s="12"/>
      <c r="G41" s="12"/>
      <c r="H41" s="12"/>
      <c r="I41" s="12"/>
    </row>
    <row r="42" spans="2:10" s="11" customFormat="1" ht="20.25" customHeight="1">
      <c r="B42" s="57"/>
      <c r="C42" s="58"/>
      <c r="D42" s="12"/>
      <c r="E42" s="12"/>
      <c r="F42" s="12"/>
      <c r="G42" s="12"/>
      <c r="H42" s="12"/>
      <c r="I42" s="12"/>
    </row>
    <row r="43" spans="2:10" ht="24">
      <c r="B43" s="1"/>
      <c r="C43" s="1"/>
      <c r="D43" s="1"/>
      <c r="E43" s="1"/>
      <c r="F43" s="1"/>
      <c r="G43" s="12"/>
      <c r="H43" s="1"/>
      <c r="I43" s="12"/>
    </row>
    <row r="44" spans="2:10" ht="24">
      <c r="B44" s="12"/>
      <c r="C44" s="12"/>
      <c r="D44" s="12"/>
      <c r="E44" s="12"/>
      <c r="F44" s="12"/>
      <c r="G44" s="12"/>
      <c r="H44" s="12"/>
      <c r="I44" s="41"/>
    </row>
    <row r="45" spans="2:10" ht="24">
      <c r="B45" s="12"/>
      <c r="C45" s="12"/>
      <c r="D45" s="12"/>
      <c r="E45" s="12"/>
      <c r="F45" s="39"/>
      <c r="G45" s="39"/>
      <c r="H45" s="40"/>
      <c r="I45" s="39"/>
    </row>
  </sheetData>
  <mergeCells count="9">
    <mergeCell ref="E27:H27"/>
    <mergeCell ref="E29:H29"/>
    <mergeCell ref="I2:J2"/>
    <mergeCell ref="B6:D6"/>
    <mergeCell ref="G15:G16"/>
    <mergeCell ref="H16:J16"/>
    <mergeCell ref="H17:J17"/>
    <mergeCell ref="B22:I23"/>
    <mergeCell ref="E28:H28"/>
  </mergeCells>
  <phoneticPr fontId="7"/>
  <dataValidations count="1">
    <dataValidation allowBlank="1" showInputMessage="1" showErrorMessage="1" sqref="H2" xr:uid="{6838B010-DB9A-D94D-9A52-043F0164A5C9}"/>
  </dataValidations>
  <pageMargins left="0.7" right="0.7" top="0.75" bottom="0.75" header="0.3" footer="0.3"/>
  <pageSetup paperSize="9" scale="77"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B9FA5-C220-CE44-B3ED-EEB36A227CDE}">
  <sheetPr codeName="Sheet34">
    <tabColor theme="4"/>
    <pageSetUpPr fitToPage="1"/>
  </sheetPr>
  <dimension ref="B1:M45"/>
  <sheetViews>
    <sheetView topLeftCell="A7" zoomScaleNormal="100" workbookViewId="0">
      <selection activeCell="L33" sqref="L33"/>
    </sheetView>
  </sheetViews>
  <sheetFormatPr baseColWidth="10" defaultColWidth="8.83203125" defaultRowHeight="18"/>
  <cols>
    <col min="1" max="1" width="8.1640625" customWidth="1"/>
    <col min="2" max="2" width="4.33203125" customWidth="1"/>
    <col min="3" max="3" width="8.5" customWidth="1"/>
    <col min="4" max="4" width="17.1640625" customWidth="1"/>
    <col min="5" max="5" width="13.6640625" customWidth="1"/>
    <col min="6" max="6" width="17.1640625" customWidth="1"/>
    <col min="7" max="7" width="13.6640625" customWidth="1"/>
    <col min="8" max="8" width="17.1640625" customWidth="1"/>
    <col min="9" max="9" width="6.5" customWidth="1"/>
    <col min="10" max="10" width="6.6640625" customWidth="1"/>
    <col min="11" max="11" width="11.1640625" customWidth="1"/>
    <col min="12" max="12" width="6.6640625" customWidth="1"/>
    <col min="13" max="13" width="15.83203125" customWidth="1"/>
    <col min="14" max="14" width="17.6640625" customWidth="1"/>
    <col min="15" max="15" width="18.1640625" customWidth="1"/>
  </cols>
  <sheetData>
    <row r="1" spans="2:13">
      <c r="I1" s="10"/>
    </row>
    <row r="2" spans="2:13" ht="24">
      <c r="B2" s="1"/>
      <c r="G2" s="87"/>
      <c r="H2" s="88"/>
      <c r="I2" s="130"/>
      <c r="J2" s="130"/>
    </row>
    <row r="3" spans="2:13" ht="24" customHeight="1">
      <c r="B3" s="76"/>
      <c r="C3" s="76"/>
      <c r="D3" s="76"/>
      <c r="E3" s="76"/>
      <c r="G3" s="87"/>
      <c r="H3" s="88"/>
      <c r="I3" s="88"/>
    </row>
    <row r="4" spans="2:13" ht="18.75" customHeight="1">
      <c r="B4" s="76"/>
      <c r="C4" s="76"/>
      <c r="D4" s="76"/>
      <c r="E4" s="76"/>
    </row>
    <row r="5" spans="2:13" ht="24">
      <c r="B5" s="33"/>
      <c r="C5" s="33"/>
      <c r="D5" s="33"/>
    </row>
    <row r="6" spans="2:13" ht="45">
      <c r="B6" s="131"/>
      <c r="C6" s="131"/>
      <c r="D6" s="131"/>
      <c r="E6" s="1"/>
      <c r="F6" s="86" t="s">
        <v>137</v>
      </c>
    </row>
    <row r="7" spans="2:13" ht="24">
      <c r="B7" s="1" t="s">
        <v>20</v>
      </c>
      <c r="C7" s="12"/>
      <c r="D7" s="90">
        <v>3000000954</v>
      </c>
      <c r="E7" s="13"/>
    </row>
    <row r="8" spans="2:13" ht="24">
      <c r="B8" s="12" t="s">
        <v>21</v>
      </c>
      <c r="C8" s="12"/>
      <c r="D8" s="12" t="str">
        <f>受給者情報!G11</f>
        <v>飯久保智彦</v>
      </c>
      <c r="E8" t="s">
        <v>41</v>
      </c>
    </row>
    <row r="12" spans="2:13" ht="31">
      <c r="E12" s="52" t="s">
        <v>22</v>
      </c>
      <c r="F12" s="52"/>
      <c r="G12" s="52"/>
    </row>
    <row r="13" spans="2:13" ht="24">
      <c r="I13" s="14"/>
      <c r="M13" s="37"/>
    </row>
    <row r="14" spans="2:13">
      <c r="M14" s="37"/>
    </row>
    <row r="15" spans="2:13" ht="24" customHeight="1">
      <c r="G15" s="132" t="s">
        <v>23</v>
      </c>
      <c r="H15" s="49" t="s">
        <v>24</v>
      </c>
      <c r="I15" s="49"/>
      <c r="M15" s="37"/>
    </row>
    <row r="16" spans="2:13" ht="24" customHeight="1">
      <c r="G16" s="132"/>
      <c r="H16" s="133" t="s">
        <v>25</v>
      </c>
      <c r="I16" s="133"/>
      <c r="J16" s="133"/>
      <c r="M16" s="37"/>
    </row>
    <row r="17" spans="2:13" ht="40.5" customHeight="1">
      <c r="G17" s="50"/>
      <c r="H17" s="133" t="s">
        <v>27</v>
      </c>
      <c r="I17" s="133"/>
      <c r="J17" s="133"/>
      <c r="M17" s="37"/>
    </row>
    <row r="18" spans="2:13">
      <c r="G18" s="51" t="s">
        <v>28</v>
      </c>
      <c r="H18" s="51" t="str">
        <f>事業者情報!C5&amp;"　"&amp;事業者情報!C6</f>
        <v>代表取締役社長　澤田昌志</v>
      </c>
      <c r="M18" s="37"/>
    </row>
    <row r="19" spans="2:13">
      <c r="G19" s="51" t="s">
        <v>29</v>
      </c>
      <c r="H19" s="51" t="str">
        <f>事業者情報!C7&amp;""</f>
        <v>0566-63-6817</v>
      </c>
      <c r="M19" s="37"/>
    </row>
    <row r="20" spans="2:13">
      <c r="G20" s="51" t="s">
        <v>30</v>
      </c>
      <c r="H20" s="51" t="str">
        <f>事業者情報!C8&amp;""</f>
        <v>0566-63-6818</v>
      </c>
      <c r="M20" s="37"/>
    </row>
    <row r="21" spans="2:13">
      <c r="M21" s="37"/>
    </row>
    <row r="22" spans="2:13" ht="24" customHeight="1">
      <c r="B22" s="134" t="s">
        <v>135</v>
      </c>
      <c r="C22" s="134"/>
      <c r="D22" s="134"/>
      <c r="E22" s="134"/>
      <c r="F22" s="134"/>
      <c r="G22" s="134"/>
      <c r="H22" s="134"/>
      <c r="I22" s="134"/>
      <c r="M22" s="37"/>
    </row>
    <row r="23" spans="2:13" ht="24" customHeight="1">
      <c r="B23" s="134"/>
      <c r="C23" s="134"/>
      <c r="D23" s="134"/>
      <c r="E23" s="134"/>
      <c r="F23" s="134"/>
      <c r="G23" s="134"/>
      <c r="H23" s="134"/>
      <c r="I23" s="134"/>
      <c r="M23" s="37"/>
    </row>
    <row r="25" spans="2:13" ht="27">
      <c r="C25" s="98">
        <v>10</v>
      </c>
      <c r="D25" s="98" t="s">
        <v>173</v>
      </c>
      <c r="E25" s="71" t="s">
        <v>32</v>
      </c>
      <c r="F25" s="72">
        <f>H34</f>
        <v>0</v>
      </c>
      <c r="G25" s="16" t="s">
        <v>33</v>
      </c>
    </row>
    <row r="27" spans="2:13" ht="24.75" customHeight="1">
      <c r="B27" s="55"/>
      <c r="C27" s="56"/>
      <c r="D27" s="64" t="s">
        <v>42</v>
      </c>
      <c r="E27" s="136" t="s">
        <v>133</v>
      </c>
      <c r="F27" s="124"/>
      <c r="G27" s="124"/>
      <c r="H27" s="125"/>
      <c r="I27" s="12"/>
    </row>
    <row r="28" spans="2:13" ht="24.75" customHeight="1">
      <c r="B28" s="55"/>
      <c r="C28" s="56"/>
      <c r="D28" s="60" t="s">
        <v>139</v>
      </c>
      <c r="E28" s="135" t="s">
        <v>104</v>
      </c>
      <c r="F28" s="124"/>
      <c r="G28" s="124"/>
      <c r="H28" s="125"/>
      <c r="I28" s="12"/>
    </row>
    <row r="29" spans="2:13" ht="24.75" customHeight="1">
      <c r="B29" s="57"/>
      <c r="C29" s="56"/>
      <c r="D29" s="60" t="s">
        <v>43</v>
      </c>
      <c r="E29" s="126">
        <v>46010</v>
      </c>
      <c r="F29" s="124"/>
      <c r="G29" s="124"/>
      <c r="H29" s="125"/>
      <c r="I29" s="53"/>
    </row>
    <row r="30" spans="2:13" ht="24.75" customHeight="1">
      <c r="B30" s="57"/>
      <c r="C30" s="56"/>
      <c r="D30" s="65" t="s">
        <v>44</v>
      </c>
      <c r="E30" s="61"/>
      <c r="F30" s="67"/>
      <c r="G30" s="45"/>
      <c r="H30" s="46"/>
      <c r="I30" s="73" t="s">
        <v>45</v>
      </c>
    </row>
    <row r="31" spans="2:13" ht="24.75" customHeight="1">
      <c r="B31" s="57"/>
      <c r="C31" s="56"/>
      <c r="D31" s="62" t="s">
        <v>46</v>
      </c>
      <c r="E31" s="68" t="s">
        <v>35</v>
      </c>
      <c r="F31" s="67"/>
      <c r="G31" s="45"/>
      <c r="H31" s="44">
        <f>H30</f>
        <v>0</v>
      </c>
      <c r="I31" s="74" t="s">
        <v>40</v>
      </c>
    </row>
    <row r="32" spans="2:13" ht="24.75" customHeight="1">
      <c r="B32" s="57"/>
      <c r="C32" s="56"/>
      <c r="D32" s="62"/>
      <c r="E32" s="68" t="s">
        <v>36</v>
      </c>
      <c r="F32" s="67"/>
      <c r="G32" s="45"/>
      <c r="H32" s="45">
        <v>0</v>
      </c>
      <c r="I32" s="74" t="s">
        <v>40</v>
      </c>
    </row>
    <row r="33" spans="2:10" ht="24.75" customHeight="1">
      <c r="B33" s="57"/>
      <c r="C33" s="56"/>
      <c r="D33" s="62"/>
      <c r="E33" s="66" t="s">
        <v>37</v>
      </c>
      <c r="F33" s="69"/>
      <c r="G33" s="43"/>
      <c r="H33" s="59"/>
      <c r="I33" s="74" t="s">
        <v>40</v>
      </c>
    </row>
    <row r="34" spans="2:10" ht="24">
      <c r="B34" s="57"/>
      <c r="C34" s="56"/>
      <c r="D34" s="42"/>
      <c r="E34" s="38"/>
      <c r="F34" s="38"/>
      <c r="G34" s="63" t="s">
        <v>47</v>
      </c>
      <c r="H34" s="70">
        <f>SUM(H31-H32+H33)</f>
        <v>0</v>
      </c>
      <c r="I34" s="74" t="s">
        <v>40</v>
      </c>
    </row>
    <row r="35" spans="2:10" ht="24">
      <c r="B35" s="57"/>
      <c r="C35" s="56"/>
      <c r="D35" s="12"/>
      <c r="E35" s="12"/>
      <c r="F35" s="12"/>
      <c r="G35" s="12"/>
      <c r="H35" s="12"/>
      <c r="I35" s="53"/>
    </row>
    <row r="36" spans="2:10" ht="24">
      <c r="B36" s="57"/>
      <c r="C36" s="56"/>
      <c r="D36" s="12"/>
      <c r="E36" s="12"/>
      <c r="F36" s="12"/>
      <c r="G36" s="12"/>
      <c r="H36" s="12"/>
      <c r="I36" s="12"/>
    </row>
    <row r="37" spans="2:10" ht="24">
      <c r="B37" s="57"/>
      <c r="C37" s="56"/>
      <c r="D37" s="12"/>
      <c r="E37" s="12"/>
      <c r="F37" s="12"/>
      <c r="G37" s="12"/>
      <c r="H37" s="12"/>
      <c r="I37" s="12"/>
    </row>
    <row r="38" spans="2:10" ht="24">
      <c r="B38" s="57"/>
      <c r="C38" s="56"/>
      <c r="D38" s="12"/>
      <c r="E38" s="12"/>
      <c r="F38" s="12"/>
      <c r="G38" s="12"/>
      <c r="H38" s="12"/>
      <c r="I38" s="54"/>
    </row>
    <row r="39" spans="2:10" s="11" customFormat="1" ht="20.25" customHeight="1">
      <c r="B39" s="57"/>
      <c r="C39" s="58"/>
      <c r="D39" s="12"/>
      <c r="E39" s="12"/>
      <c r="F39" s="12"/>
      <c r="G39" s="12"/>
      <c r="H39" s="12"/>
      <c r="I39" s="12"/>
      <c r="J39" s="18"/>
    </row>
    <row r="40" spans="2:10" s="11" customFormat="1" ht="20.25" customHeight="1">
      <c r="B40" s="57"/>
      <c r="C40" s="58"/>
      <c r="D40" s="12"/>
      <c r="E40" s="12"/>
      <c r="F40" s="12"/>
      <c r="G40" s="12"/>
      <c r="H40" s="12"/>
      <c r="I40" s="12"/>
    </row>
    <row r="41" spans="2:10" s="11" customFormat="1" ht="20.25" customHeight="1">
      <c r="B41" s="57"/>
      <c r="C41" s="58"/>
      <c r="D41" s="12"/>
      <c r="E41" s="12"/>
      <c r="F41" s="12"/>
      <c r="G41" s="12"/>
      <c r="H41" s="12"/>
      <c r="I41" s="12"/>
    </row>
    <row r="42" spans="2:10" s="11" customFormat="1" ht="20.25" customHeight="1">
      <c r="B42" s="57"/>
      <c r="C42" s="58"/>
      <c r="D42" s="12"/>
      <c r="E42" s="12"/>
      <c r="F42" s="12"/>
      <c r="G42" s="12"/>
      <c r="H42" s="12"/>
      <c r="I42" s="12"/>
    </row>
    <row r="43" spans="2:10" ht="24">
      <c r="B43" s="1"/>
      <c r="C43" s="1"/>
      <c r="D43" s="1"/>
      <c r="E43" s="1"/>
      <c r="F43" s="1"/>
      <c r="G43" s="12"/>
      <c r="H43" s="1"/>
      <c r="I43" s="12"/>
    </row>
    <row r="44" spans="2:10" ht="24">
      <c r="B44" s="12"/>
      <c r="C44" s="12"/>
      <c r="D44" s="12"/>
      <c r="E44" s="12"/>
      <c r="F44" s="12"/>
      <c r="G44" s="12"/>
      <c r="H44" s="12"/>
      <c r="I44" s="41"/>
    </row>
    <row r="45" spans="2:10" ht="24">
      <c r="B45" s="12"/>
      <c r="C45" s="12"/>
      <c r="D45" s="12"/>
      <c r="E45" s="12"/>
      <c r="F45" s="39"/>
      <c r="G45" s="39"/>
      <c r="H45" s="40"/>
      <c r="I45" s="39"/>
    </row>
  </sheetData>
  <mergeCells count="9">
    <mergeCell ref="E27:H27"/>
    <mergeCell ref="E29:H29"/>
    <mergeCell ref="I2:J2"/>
    <mergeCell ref="B6:D6"/>
    <mergeCell ref="G15:G16"/>
    <mergeCell ref="H16:J16"/>
    <mergeCell ref="H17:J17"/>
    <mergeCell ref="B22:I23"/>
    <mergeCell ref="E28:H28"/>
  </mergeCells>
  <phoneticPr fontId="7"/>
  <dataValidations count="1">
    <dataValidation allowBlank="1" showInputMessage="1" showErrorMessage="1" sqref="H2" xr:uid="{3CD3F559-EBE4-C842-92B6-36F7B0FBE3B9}"/>
  </dataValidations>
  <pageMargins left="0.7" right="0.7" top="0.75" bottom="0.75" header="0.3" footer="0.3"/>
  <pageSetup paperSize="9" scale="77"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9F0DC-197E-EB4E-B160-5EE81CDA1E0C}">
  <sheetPr codeName="Sheet35">
    <tabColor theme="4"/>
    <pageSetUpPr fitToPage="1"/>
  </sheetPr>
  <dimension ref="B1:M45"/>
  <sheetViews>
    <sheetView topLeftCell="A16" zoomScaleNormal="100" workbookViewId="0">
      <selection activeCell="L33" sqref="L33"/>
    </sheetView>
  </sheetViews>
  <sheetFormatPr baseColWidth="10" defaultColWidth="8.83203125" defaultRowHeight="18"/>
  <cols>
    <col min="1" max="1" width="8.1640625" customWidth="1"/>
    <col min="2" max="2" width="4.33203125" customWidth="1"/>
    <col min="3" max="3" width="8.5" customWidth="1"/>
    <col min="4" max="4" width="17.1640625" customWidth="1"/>
    <col min="5" max="5" width="13.6640625" customWidth="1"/>
    <col min="6" max="6" width="17.1640625" customWidth="1"/>
    <col min="7" max="7" width="13.6640625" customWidth="1"/>
    <col min="8" max="8" width="17.1640625" customWidth="1"/>
    <col min="9" max="9" width="6.5" customWidth="1"/>
    <col min="10" max="10" width="6.6640625" customWidth="1"/>
    <col min="11" max="11" width="11.1640625" customWidth="1"/>
    <col min="12" max="12" width="6.6640625" customWidth="1"/>
    <col min="13" max="13" width="15.83203125" customWidth="1"/>
    <col min="14" max="14" width="17.6640625" customWidth="1"/>
    <col min="15" max="15" width="18.1640625" customWidth="1"/>
  </cols>
  <sheetData>
    <row r="1" spans="2:13">
      <c r="I1" s="10"/>
    </row>
    <row r="2" spans="2:13" ht="24">
      <c r="B2" s="1"/>
      <c r="G2" s="87"/>
      <c r="H2" s="88"/>
      <c r="I2" s="130"/>
      <c r="J2" s="130"/>
    </row>
    <row r="3" spans="2:13" ht="24" customHeight="1">
      <c r="B3" s="76"/>
      <c r="C3" s="76"/>
      <c r="D3" s="76"/>
      <c r="E3" s="76"/>
      <c r="G3" s="87"/>
      <c r="H3" s="88"/>
      <c r="I3" s="88"/>
    </row>
    <row r="4" spans="2:13" ht="18.75" customHeight="1">
      <c r="B4" s="76"/>
      <c r="C4" s="76"/>
      <c r="D4" s="76"/>
      <c r="E4" s="76"/>
    </row>
    <row r="5" spans="2:13" ht="24">
      <c r="B5" s="33"/>
      <c r="C5" s="33"/>
      <c r="D5" s="33"/>
    </row>
    <row r="6" spans="2:13" ht="45">
      <c r="B6" s="131"/>
      <c r="C6" s="131"/>
      <c r="D6" s="131"/>
      <c r="E6" s="1"/>
      <c r="F6" s="86" t="s">
        <v>137</v>
      </c>
    </row>
    <row r="7" spans="2:13" ht="24">
      <c r="B7" s="1" t="s">
        <v>20</v>
      </c>
      <c r="C7" s="12"/>
      <c r="D7" s="92">
        <v>1826</v>
      </c>
      <c r="E7" s="13"/>
    </row>
    <row r="8" spans="2:13" ht="24">
      <c r="B8" s="12" t="s">
        <v>21</v>
      </c>
      <c r="C8" s="12"/>
      <c r="D8" s="12" t="str">
        <f>受給者情報!G12</f>
        <v>渕上舞</v>
      </c>
      <c r="E8" t="s">
        <v>41</v>
      </c>
    </row>
    <row r="12" spans="2:13" ht="31">
      <c r="E12" s="52" t="s">
        <v>22</v>
      </c>
      <c r="F12" s="52"/>
      <c r="G12" s="52"/>
    </row>
    <row r="13" spans="2:13" ht="24">
      <c r="I13" s="14"/>
      <c r="M13" s="37"/>
    </row>
    <row r="14" spans="2:13">
      <c r="M14" s="37"/>
    </row>
    <row r="15" spans="2:13" ht="24" customHeight="1">
      <c r="G15" s="132" t="s">
        <v>23</v>
      </c>
      <c r="H15" s="49" t="s">
        <v>24</v>
      </c>
      <c r="I15" s="49"/>
      <c r="M15" s="37"/>
    </row>
    <row r="16" spans="2:13" ht="24" customHeight="1">
      <c r="G16" s="132"/>
      <c r="H16" s="133" t="s">
        <v>25</v>
      </c>
      <c r="I16" s="133"/>
      <c r="J16" s="133"/>
      <c r="M16" s="37"/>
    </row>
    <row r="17" spans="2:13" ht="40.5" customHeight="1">
      <c r="G17" s="50"/>
      <c r="H17" s="133" t="s">
        <v>27</v>
      </c>
      <c r="I17" s="133"/>
      <c r="J17" s="133"/>
      <c r="M17" s="37"/>
    </row>
    <row r="18" spans="2:13">
      <c r="G18" s="51" t="s">
        <v>28</v>
      </c>
      <c r="H18" s="51" t="str">
        <f>事業者情報!C5&amp;"　"&amp;事業者情報!C6</f>
        <v>代表取締役社長　澤田昌志</v>
      </c>
      <c r="M18" s="37"/>
    </row>
    <row r="19" spans="2:13">
      <c r="G19" s="51" t="s">
        <v>29</v>
      </c>
      <c r="H19" s="51" t="str">
        <f>事業者情報!C7&amp;""</f>
        <v>0566-63-6817</v>
      </c>
      <c r="M19" s="37"/>
    </row>
    <row r="20" spans="2:13">
      <c r="G20" s="51" t="s">
        <v>30</v>
      </c>
      <c r="H20" s="51" t="str">
        <f>事業者情報!C8&amp;""</f>
        <v>0566-63-6818</v>
      </c>
      <c r="M20" s="37"/>
    </row>
    <row r="21" spans="2:13">
      <c r="M21" s="37"/>
    </row>
    <row r="22" spans="2:13" ht="24" customHeight="1">
      <c r="B22" s="134" t="s">
        <v>135</v>
      </c>
      <c r="C22" s="134"/>
      <c r="D22" s="134"/>
      <c r="E22" s="134"/>
      <c r="F22" s="134"/>
      <c r="G22" s="134"/>
      <c r="H22" s="134"/>
      <c r="I22" s="134"/>
      <c r="M22" s="37"/>
    </row>
    <row r="23" spans="2:13" ht="24" customHeight="1">
      <c r="B23" s="134"/>
      <c r="C23" s="134"/>
      <c r="D23" s="134"/>
      <c r="E23" s="134"/>
      <c r="F23" s="134"/>
      <c r="G23" s="134"/>
      <c r="H23" s="134"/>
      <c r="I23" s="134"/>
      <c r="M23" s="37"/>
    </row>
    <row r="25" spans="2:13" ht="27">
      <c r="C25" s="98">
        <v>10</v>
      </c>
      <c r="D25" s="98" t="s">
        <v>173</v>
      </c>
      <c r="E25" s="71" t="s">
        <v>32</v>
      </c>
      <c r="F25" s="72">
        <f>H34</f>
        <v>0</v>
      </c>
      <c r="G25" s="16" t="s">
        <v>33</v>
      </c>
    </row>
    <row r="27" spans="2:13" ht="24.75" customHeight="1">
      <c r="B27" s="55"/>
      <c r="C27" s="56"/>
      <c r="D27" s="64" t="s">
        <v>42</v>
      </c>
      <c r="E27" s="136" t="s">
        <v>156</v>
      </c>
      <c r="F27" s="124"/>
      <c r="G27" s="124"/>
      <c r="H27" s="125"/>
      <c r="I27" s="12"/>
    </row>
    <row r="28" spans="2:13" ht="24.75" customHeight="1">
      <c r="B28" s="55"/>
      <c r="C28" s="56"/>
      <c r="D28" s="60" t="s">
        <v>139</v>
      </c>
      <c r="E28" s="135" t="s">
        <v>104</v>
      </c>
      <c r="F28" s="124"/>
      <c r="G28" s="124"/>
      <c r="H28" s="125"/>
      <c r="I28" s="12"/>
    </row>
    <row r="29" spans="2:13" ht="24.75" customHeight="1">
      <c r="B29" s="57"/>
      <c r="C29" s="56"/>
      <c r="D29" s="60" t="s">
        <v>43</v>
      </c>
      <c r="E29" s="126">
        <v>46010</v>
      </c>
      <c r="F29" s="124"/>
      <c r="G29" s="124"/>
      <c r="H29" s="125"/>
      <c r="I29" s="53"/>
    </row>
    <row r="30" spans="2:13" ht="24.75" customHeight="1">
      <c r="B30" s="57"/>
      <c r="C30" s="56"/>
      <c r="D30" s="65" t="s">
        <v>44</v>
      </c>
      <c r="E30" s="61"/>
      <c r="F30" s="67"/>
      <c r="G30" s="45"/>
      <c r="H30" s="104"/>
      <c r="I30" s="73" t="s">
        <v>45</v>
      </c>
    </row>
    <row r="31" spans="2:13" ht="24.75" customHeight="1">
      <c r="B31" s="57"/>
      <c r="C31" s="56"/>
      <c r="D31" s="62" t="s">
        <v>46</v>
      </c>
      <c r="E31" s="68" t="s">
        <v>35</v>
      </c>
      <c r="F31" s="67"/>
      <c r="G31" s="45"/>
      <c r="H31" s="101">
        <f>H30</f>
        <v>0</v>
      </c>
      <c r="I31" s="74" t="s">
        <v>40</v>
      </c>
    </row>
    <row r="32" spans="2:13" ht="24.75" customHeight="1">
      <c r="B32" s="57"/>
      <c r="C32" s="56"/>
      <c r="D32" s="62"/>
      <c r="E32" s="68" t="s">
        <v>36</v>
      </c>
      <c r="F32" s="67"/>
      <c r="G32" s="45"/>
      <c r="H32" s="102">
        <v>0</v>
      </c>
      <c r="I32" s="74" t="s">
        <v>40</v>
      </c>
    </row>
    <row r="33" spans="2:10" ht="24.75" customHeight="1">
      <c r="B33" s="57"/>
      <c r="C33" s="56"/>
      <c r="D33" s="62"/>
      <c r="E33" s="66" t="s">
        <v>37</v>
      </c>
      <c r="F33" s="69"/>
      <c r="G33" s="43"/>
      <c r="H33" s="103">
        <v>0</v>
      </c>
      <c r="I33" s="74" t="s">
        <v>40</v>
      </c>
    </row>
    <row r="34" spans="2:10" ht="24">
      <c r="B34" s="57"/>
      <c r="C34" s="56"/>
      <c r="D34" s="42"/>
      <c r="E34" s="38"/>
      <c r="F34" s="38"/>
      <c r="G34" s="63" t="s">
        <v>47</v>
      </c>
      <c r="H34" s="96">
        <f>SUM(H31-H32+H33)</f>
        <v>0</v>
      </c>
      <c r="I34" s="74" t="s">
        <v>40</v>
      </c>
    </row>
    <row r="35" spans="2:10" ht="24">
      <c r="B35" s="57"/>
      <c r="C35" s="56"/>
      <c r="D35" s="12"/>
      <c r="E35" s="12"/>
      <c r="F35" s="12"/>
      <c r="G35" s="12"/>
      <c r="H35" s="12"/>
      <c r="I35" s="53"/>
    </row>
    <row r="36" spans="2:10" ht="24">
      <c r="B36" s="57"/>
      <c r="C36" s="56"/>
      <c r="D36" s="12"/>
      <c r="E36" s="12"/>
      <c r="F36" s="12"/>
      <c r="G36" s="12"/>
      <c r="H36" s="12"/>
      <c r="I36" s="12"/>
    </row>
    <row r="37" spans="2:10" ht="24">
      <c r="B37" s="57"/>
      <c r="C37" s="56"/>
      <c r="D37" s="12"/>
      <c r="E37" s="12"/>
      <c r="F37" s="12"/>
      <c r="G37" s="12"/>
      <c r="H37" s="12"/>
      <c r="I37" s="12"/>
    </row>
    <row r="38" spans="2:10" ht="24">
      <c r="B38" s="57"/>
      <c r="C38" s="56"/>
      <c r="D38" s="12"/>
      <c r="E38" s="12"/>
      <c r="F38" s="12"/>
      <c r="G38" s="12"/>
      <c r="H38" s="12"/>
      <c r="I38" s="54"/>
    </row>
    <row r="39" spans="2:10" s="11" customFormat="1" ht="20.25" customHeight="1">
      <c r="B39" s="57"/>
      <c r="C39" s="58"/>
      <c r="D39" s="12"/>
      <c r="E39" s="12"/>
      <c r="F39" s="12"/>
      <c r="G39" s="12"/>
      <c r="H39" s="12"/>
      <c r="I39" s="12"/>
      <c r="J39" s="18"/>
    </row>
    <row r="40" spans="2:10" s="11" customFormat="1" ht="20.25" customHeight="1">
      <c r="B40" s="57"/>
      <c r="C40" s="58"/>
      <c r="D40" s="12"/>
      <c r="E40" s="12"/>
      <c r="F40" s="12"/>
      <c r="G40" s="12"/>
      <c r="H40" s="12"/>
      <c r="I40" s="12"/>
    </row>
    <row r="41" spans="2:10" s="11" customFormat="1" ht="20.25" customHeight="1">
      <c r="B41" s="57"/>
      <c r="C41" s="58"/>
      <c r="D41" s="12"/>
      <c r="E41" s="12"/>
      <c r="F41" s="12"/>
      <c r="G41" s="12"/>
      <c r="H41" s="12"/>
      <c r="I41" s="12"/>
    </row>
    <row r="42" spans="2:10" s="11" customFormat="1" ht="20.25" customHeight="1">
      <c r="B42" s="57"/>
      <c r="C42" s="58"/>
      <c r="D42" s="12"/>
      <c r="E42" s="12"/>
      <c r="F42" s="12"/>
      <c r="G42" s="12"/>
      <c r="H42" s="12"/>
      <c r="I42" s="12"/>
    </row>
    <row r="43" spans="2:10" ht="24">
      <c r="B43" s="1"/>
      <c r="C43" s="1"/>
      <c r="D43" s="1"/>
      <c r="E43" s="1"/>
      <c r="F43" s="1"/>
      <c r="G43" s="12"/>
      <c r="H43" s="1"/>
      <c r="I43" s="12"/>
    </row>
    <row r="44" spans="2:10" ht="24">
      <c r="B44" s="12"/>
      <c r="C44" s="12"/>
      <c r="D44" s="12"/>
      <c r="E44" s="12"/>
      <c r="F44" s="12"/>
      <c r="G44" s="12"/>
      <c r="H44" s="12"/>
      <c r="I44" s="41"/>
    </row>
    <row r="45" spans="2:10" ht="24">
      <c r="B45" s="12"/>
      <c r="C45" s="12"/>
      <c r="D45" s="12"/>
      <c r="E45" s="12"/>
      <c r="F45" s="39"/>
      <c r="G45" s="39"/>
      <c r="H45" s="40"/>
      <c r="I45" s="39"/>
    </row>
  </sheetData>
  <mergeCells count="9">
    <mergeCell ref="E27:H27"/>
    <mergeCell ref="E29:H29"/>
    <mergeCell ref="I2:J2"/>
    <mergeCell ref="B6:D6"/>
    <mergeCell ref="G15:G16"/>
    <mergeCell ref="H16:J16"/>
    <mergeCell ref="H17:J17"/>
    <mergeCell ref="B22:I23"/>
    <mergeCell ref="E28:H28"/>
  </mergeCells>
  <phoneticPr fontId="7"/>
  <dataValidations count="1">
    <dataValidation allowBlank="1" showInputMessage="1" showErrorMessage="1" sqref="H2" xr:uid="{EE2584EA-8B61-1F40-9A54-4C4B2C587A7F}"/>
  </dataValidations>
  <pageMargins left="0.7" right="0.7" top="0.75" bottom="0.75" header="0.3" footer="0.3"/>
  <pageSetup paperSize="9" scale="77"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33D9A-AFE2-DC42-AD84-BE8151A4EF99}">
  <sheetPr codeName="Sheet36">
    <tabColor theme="4"/>
    <pageSetUpPr fitToPage="1"/>
  </sheetPr>
  <dimension ref="B1:M45"/>
  <sheetViews>
    <sheetView topLeftCell="A13" zoomScaleNormal="100" workbookViewId="0">
      <selection activeCell="L33" sqref="L33"/>
    </sheetView>
  </sheetViews>
  <sheetFormatPr baseColWidth="10" defaultColWidth="8.83203125" defaultRowHeight="18"/>
  <cols>
    <col min="1" max="1" width="8.1640625" customWidth="1"/>
    <col min="2" max="2" width="4.33203125" customWidth="1"/>
    <col min="3" max="3" width="8.5" customWidth="1"/>
    <col min="4" max="4" width="17.1640625" customWidth="1"/>
    <col min="5" max="5" width="13.6640625" customWidth="1"/>
    <col min="6" max="6" width="17.1640625" customWidth="1"/>
    <col min="7" max="7" width="13.6640625" customWidth="1"/>
    <col min="8" max="8" width="17.1640625" customWidth="1"/>
    <col min="9" max="9" width="6.5" customWidth="1"/>
    <col min="10" max="10" width="6.6640625" customWidth="1"/>
    <col min="11" max="11" width="11.1640625" customWidth="1"/>
    <col min="12" max="12" width="6.6640625" customWidth="1"/>
    <col min="13" max="13" width="15.83203125" customWidth="1"/>
    <col min="14" max="14" width="17.6640625" customWidth="1"/>
    <col min="15" max="15" width="18.1640625" customWidth="1"/>
  </cols>
  <sheetData>
    <row r="1" spans="2:13">
      <c r="I1" s="10"/>
    </row>
    <row r="2" spans="2:13" ht="24">
      <c r="B2" s="1"/>
      <c r="G2" s="87"/>
      <c r="H2" s="88"/>
      <c r="I2" s="130"/>
      <c r="J2" s="130"/>
    </row>
    <row r="3" spans="2:13" ht="24" customHeight="1">
      <c r="B3" s="76"/>
      <c r="C3" s="76"/>
      <c r="D3" s="76"/>
      <c r="E3" s="76"/>
      <c r="G3" s="87"/>
      <c r="H3" s="88"/>
      <c r="I3" s="88"/>
    </row>
    <row r="4" spans="2:13" ht="18.75" customHeight="1">
      <c r="B4" s="76"/>
      <c r="C4" s="76"/>
      <c r="D4" s="76"/>
      <c r="E4" s="76"/>
    </row>
    <row r="5" spans="2:13" ht="24">
      <c r="B5" s="33"/>
      <c r="C5" s="33"/>
      <c r="D5" s="33"/>
    </row>
    <row r="6" spans="2:13" ht="45">
      <c r="B6" s="131"/>
      <c r="C6" s="131"/>
      <c r="D6" s="131"/>
      <c r="E6" s="1"/>
      <c r="F6" s="86" t="s">
        <v>137</v>
      </c>
    </row>
    <row r="7" spans="2:13" ht="24">
      <c r="B7" s="1" t="s">
        <v>20</v>
      </c>
      <c r="C7" s="12"/>
      <c r="D7" s="92">
        <v>6536</v>
      </c>
      <c r="E7" s="13"/>
    </row>
    <row r="8" spans="2:13" ht="24">
      <c r="B8" s="12" t="s">
        <v>21</v>
      </c>
      <c r="C8" s="12"/>
      <c r="D8" s="12" t="str">
        <f>受給者情報!G13</f>
        <v>鈴木友瑠</v>
      </c>
      <c r="E8" t="s">
        <v>41</v>
      </c>
    </row>
    <row r="12" spans="2:13" ht="31">
      <c r="E12" s="52" t="s">
        <v>22</v>
      </c>
      <c r="F12" s="52"/>
      <c r="G12" s="52"/>
    </row>
    <row r="13" spans="2:13" ht="24">
      <c r="I13" s="14"/>
      <c r="M13" s="37"/>
    </row>
    <row r="14" spans="2:13">
      <c r="M14" s="37"/>
    </row>
    <row r="15" spans="2:13" ht="24" customHeight="1">
      <c r="G15" s="132" t="s">
        <v>23</v>
      </c>
      <c r="H15" s="49" t="s">
        <v>24</v>
      </c>
      <c r="I15" s="49"/>
      <c r="M15" s="37"/>
    </row>
    <row r="16" spans="2:13" ht="24" customHeight="1">
      <c r="G16" s="132"/>
      <c r="H16" s="133" t="s">
        <v>25</v>
      </c>
      <c r="I16" s="133"/>
      <c r="J16" s="133"/>
      <c r="M16" s="37"/>
    </row>
    <row r="17" spans="2:13" ht="40.5" customHeight="1">
      <c r="G17" s="50"/>
      <c r="H17" s="133" t="s">
        <v>27</v>
      </c>
      <c r="I17" s="133"/>
      <c r="J17" s="133"/>
      <c r="M17" s="37"/>
    </row>
    <row r="18" spans="2:13">
      <c r="G18" s="51" t="s">
        <v>28</v>
      </c>
      <c r="H18" s="51" t="str">
        <f>事業者情報!C5&amp;"　"&amp;事業者情報!C6</f>
        <v>代表取締役社長　澤田昌志</v>
      </c>
      <c r="M18" s="37"/>
    </row>
    <row r="19" spans="2:13">
      <c r="G19" s="51" t="s">
        <v>29</v>
      </c>
      <c r="H19" s="51" t="str">
        <f>事業者情報!C7&amp;""</f>
        <v>0566-63-6817</v>
      </c>
      <c r="M19" s="37"/>
    </row>
    <row r="20" spans="2:13">
      <c r="G20" s="51" t="s">
        <v>30</v>
      </c>
      <c r="H20" s="51" t="str">
        <f>事業者情報!C8&amp;""</f>
        <v>0566-63-6818</v>
      </c>
      <c r="M20" s="37"/>
    </row>
    <row r="21" spans="2:13">
      <c r="M21" s="37"/>
    </row>
    <row r="22" spans="2:13" ht="24" customHeight="1">
      <c r="B22" s="134" t="s">
        <v>135</v>
      </c>
      <c r="C22" s="134"/>
      <c r="D22" s="134"/>
      <c r="E22" s="134"/>
      <c r="F22" s="134"/>
      <c r="G22" s="134"/>
      <c r="H22" s="134"/>
      <c r="I22" s="134"/>
      <c r="M22" s="37"/>
    </row>
    <row r="23" spans="2:13" ht="24" customHeight="1">
      <c r="B23" s="134"/>
      <c r="C23" s="134"/>
      <c r="D23" s="134"/>
      <c r="E23" s="134"/>
      <c r="F23" s="134"/>
      <c r="G23" s="134"/>
      <c r="H23" s="134"/>
      <c r="I23" s="134"/>
      <c r="M23" s="37"/>
    </row>
    <row r="25" spans="2:13" ht="27">
      <c r="C25" s="98">
        <v>10</v>
      </c>
      <c r="D25" s="98" t="s">
        <v>173</v>
      </c>
      <c r="E25" s="71" t="s">
        <v>32</v>
      </c>
      <c r="F25" s="72">
        <f>H34</f>
        <v>0</v>
      </c>
      <c r="G25" s="16" t="s">
        <v>33</v>
      </c>
    </row>
    <row r="27" spans="2:13" ht="24.75" customHeight="1">
      <c r="B27" s="55"/>
      <c r="C27" s="56"/>
      <c r="D27" s="64" t="s">
        <v>42</v>
      </c>
      <c r="E27" s="136" t="s">
        <v>167</v>
      </c>
      <c r="F27" s="124"/>
      <c r="G27" s="124"/>
      <c r="H27" s="125"/>
      <c r="I27" s="12"/>
    </row>
    <row r="28" spans="2:13" ht="24.75" customHeight="1">
      <c r="B28" s="55"/>
      <c r="C28" s="56"/>
      <c r="D28" s="60" t="s">
        <v>139</v>
      </c>
      <c r="E28" s="135" t="s">
        <v>104</v>
      </c>
      <c r="F28" s="124"/>
      <c r="G28" s="124"/>
      <c r="H28" s="125"/>
      <c r="I28" s="12"/>
    </row>
    <row r="29" spans="2:13" ht="24.75" customHeight="1">
      <c r="B29" s="57"/>
      <c r="C29" s="56"/>
      <c r="D29" s="60" t="s">
        <v>43</v>
      </c>
      <c r="E29" s="138">
        <v>46010</v>
      </c>
      <c r="F29" s="124"/>
      <c r="G29" s="124"/>
      <c r="H29" s="125"/>
      <c r="I29" s="53"/>
    </row>
    <row r="30" spans="2:13" ht="24.75" customHeight="1">
      <c r="B30" s="57"/>
      <c r="C30" s="56"/>
      <c r="D30" s="65" t="s">
        <v>44</v>
      </c>
      <c r="E30" s="61"/>
      <c r="F30" s="67"/>
      <c r="G30" s="45"/>
      <c r="H30" s="104"/>
      <c r="I30" s="73" t="s">
        <v>45</v>
      </c>
    </row>
    <row r="31" spans="2:13" ht="24.75" customHeight="1">
      <c r="B31" s="57"/>
      <c r="C31" s="56"/>
      <c r="D31" s="62" t="s">
        <v>46</v>
      </c>
      <c r="E31" s="68" t="s">
        <v>35</v>
      </c>
      <c r="F31" s="67"/>
      <c r="G31" s="45"/>
      <c r="H31" s="101">
        <f>H30</f>
        <v>0</v>
      </c>
      <c r="I31" s="74" t="s">
        <v>40</v>
      </c>
    </row>
    <row r="32" spans="2:13" ht="24.75" customHeight="1">
      <c r="B32" s="57"/>
      <c r="C32" s="56"/>
      <c r="D32" s="62"/>
      <c r="E32" s="68" t="s">
        <v>36</v>
      </c>
      <c r="F32" s="67"/>
      <c r="G32" s="45"/>
      <c r="H32" s="102">
        <v>0</v>
      </c>
      <c r="I32" s="74" t="s">
        <v>40</v>
      </c>
    </row>
    <row r="33" spans="2:10" ht="24.75" customHeight="1">
      <c r="B33" s="57"/>
      <c r="C33" s="56"/>
      <c r="D33" s="62"/>
      <c r="E33" s="66" t="s">
        <v>37</v>
      </c>
      <c r="F33" s="69"/>
      <c r="G33" s="43"/>
      <c r="H33" s="103">
        <v>0</v>
      </c>
      <c r="I33" s="74" t="s">
        <v>40</v>
      </c>
    </row>
    <row r="34" spans="2:10" ht="24">
      <c r="B34" s="57"/>
      <c r="C34" s="56"/>
      <c r="D34" s="42"/>
      <c r="E34" s="38"/>
      <c r="F34" s="38"/>
      <c r="G34" s="63" t="s">
        <v>47</v>
      </c>
      <c r="H34" s="96">
        <f>SUM(H31-H32+H33)</f>
        <v>0</v>
      </c>
      <c r="I34" s="74" t="s">
        <v>40</v>
      </c>
    </row>
    <row r="35" spans="2:10" ht="24">
      <c r="B35" s="57"/>
      <c r="C35" s="56"/>
      <c r="D35" s="12"/>
      <c r="E35" s="12"/>
      <c r="F35" s="12"/>
      <c r="G35" s="12"/>
      <c r="H35" s="105"/>
      <c r="I35" s="53"/>
    </row>
    <row r="36" spans="2:10" ht="24">
      <c r="B36" s="57"/>
      <c r="C36" s="56"/>
      <c r="D36" s="12"/>
      <c r="E36" s="12"/>
      <c r="F36" s="12"/>
      <c r="G36" s="12"/>
      <c r="H36" s="105"/>
      <c r="I36" s="12"/>
    </row>
    <row r="37" spans="2:10" ht="24">
      <c r="B37" s="57"/>
      <c r="C37" s="56"/>
      <c r="D37" s="12"/>
      <c r="E37" s="12"/>
      <c r="F37" s="12"/>
      <c r="G37" s="12"/>
      <c r="H37" s="12"/>
      <c r="I37" s="12"/>
    </row>
    <row r="38" spans="2:10" ht="24">
      <c r="B38" s="57"/>
      <c r="C38" s="56"/>
      <c r="D38" s="12"/>
      <c r="E38" s="12"/>
      <c r="F38" s="12"/>
      <c r="G38" s="12"/>
      <c r="H38" s="12"/>
      <c r="I38" s="54"/>
    </row>
    <row r="39" spans="2:10" s="11" customFormat="1" ht="20.25" customHeight="1">
      <c r="B39" s="57"/>
      <c r="C39" s="58"/>
      <c r="D39" s="12"/>
      <c r="E39" s="12"/>
      <c r="F39" s="12"/>
      <c r="G39" s="12"/>
      <c r="H39" s="12"/>
      <c r="I39" s="12"/>
      <c r="J39" s="18"/>
    </row>
    <row r="40" spans="2:10" s="11" customFormat="1" ht="20.25" customHeight="1">
      <c r="B40" s="57"/>
      <c r="C40" s="58"/>
      <c r="D40" s="12"/>
      <c r="E40" s="12"/>
      <c r="F40" s="12"/>
      <c r="G40" s="12"/>
      <c r="H40" s="12"/>
      <c r="I40" s="12"/>
    </row>
    <row r="41" spans="2:10" s="11" customFormat="1" ht="20.25" customHeight="1">
      <c r="B41" s="57"/>
      <c r="C41" s="58"/>
      <c r="D41" s="12"/>
      <c r="E41" s="12"/>
      <c r="F41" s="12"/>
      <c r="G41" s="12"/>
      <c r="H41" s="12"/>
      <c r="I41" s="12"/>
    </row>
    <row r="42" spans="2:10" s="11" customFormat="1" ht="20.25" customHeight="1">
      <c r="B42" s="57"/>
      <c r="C42" s="58"/>
      <c r="D42" s="12"/>
      <c r="E42" s="12"/>
      <c r="F42" s="12"/>
      <c r="G42" s="12"/>
      <c r="H42" s="12"/>
      <c r="I42" s="12"/>
    </row>
    <row r="43" spans="2:10" ht="24">
      <c r="B43" s="1"/>
      <c r="C43" s="1"/>
      <c r="D43" s="1"/>
      <c r="E43" s="1"/>
      <c r="F43" s="1"/>
      <c r="G43" s="12"/>
      <c r="H43" s="1"/>
      <c r="I43" s="12"/>
    </row>
    <row r="44" spans="2:10" ht="24">
      <c r="B44" s="12"/>
      <c r="C44" s="12"/>
      <c r="D44" s="12"/>
      <c r="E44" s="12"/>
      <c r="F44" s="12"/>
      <c r="G44" s="12"/>
      <c r="H44" s="12"/>
      <c r="I44" s="41"/>
    </row>
    <row r="45" spans="2:10" ht="24">
      <c r="B45" s="12"/>
      <c r="C45" s="12"/>
      <c r="D45" s="12"/>
      <c r="E45" s="12"/>
      <c r="F45" s="39"/>
      <c r="G45" s="39"/>
      <c r="H45" s="40"/>
      <c r="I45" s="39"/>
    </row>
  </sheetData>
  <mergeCells count="9">
    <mergeCell ref="E27:H27"/>
    <mergeCell ref="E29:H29"/>
    <mergeCell ref="I2:J2"/>
    <mergeCell ref="B6:D6"/>
    <mergeCell ref="G15:G16"/>
    <mergeCell ref="H16:J16"/>
    <mergeCell ref="H17:J17"/>
    <mergeCell ref="B22:I23"/>
    <mergeCell ref="E28:H28"/>
  </mergeCells>
  <phoneticPr fontId="7"/>
  <dataValidations count="1">
    <dataValidation allowBlank="1" showInputMessage="1" showErrorMessage="1" sqref="H2" xr:uid="{5E711C30-2409-1C49-87DC-9A5C5849516B}"/>
  </dataValidations>
  <pageMargins left="0.7" right="0.7" top="0.75" bottom="0.75" header="0.3" footer="0.3"/>
  <pageSetup paperSize="9" scale="77"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733ED-7DE9-E14D-8219-4B307BB39E83}">
  <sheetPr codeName="Sheet37">
    <tabColor theme="4"/>
    <pageSetUpPr fitToPage="1"/>
  </sheetPr>
  <dimension ref="B1:M45"/>
  <sheetViews>
    <sheetView topLeftCell="A13" zoomScaleNormal="100" workbookViewId="0">
      <selection activeCell="L33" sqref="L33"/>
    </sheetView>
  </sheetViews>
  <sheetFormatPr baseColWidth="10" defaultColWidth="8.83203125" defaultRowHeight="18"/>
  <cols>
    <col min="1" max="1" width="8.1640625" customWidth="1"/>
    <col min="2" max="2" width="4.33203125" customWidth="1"/>
    <col min="3" max="3" width="8.5" customWidth="1"/>
    <col min="4" max="4" width="17.1640625" customWidth="1"/>
    <col min="5" max="5" width="13.6640625" customWidth="1"/>
    <col min="6" max="6" width="17.1640625" customWidth="1"/>
    <col min="7" max="7" width="13.6640625" customWidth="1"/>
    <col min="8" max="8" width="17.1640625" customWidth="1"/>
    <col min="9" max="9" width="6.5" customWidth="1"/>
    <col min="10" max="10" width="6.6640625" customWidth="1"/>
    <col min="11" max="11" width="11.1640625" customWidth="1"/>
    <col min="12" max="12" width="6.6640625" customWidth="1"/>
    <col min="13" max="13" width="15.83203125" customWidth="1"/>
    <col min="14" max="14" width="17.6640625" customWidth="1"/>
    <col min="15" max="15" width="18.1640625" customWidth="1"/>
  </cols>
  <sheetData>
    <row r="1" spans="2:13">
      <c r="I1" s="10"/>
    </row>
    <row r="2" spans="2:13" ht="24">
      <c r="B2" s="1"/>
      <c r="G2" s="87"/>
      <c r="H2" s="88"/>
      <c r="I2" s="130"/>
      <c r="J2" s="130"/>
    </row>
    <row r="3" spans="2:13" ht="24" customHeight="1">
      <c r="B3" s="76"/>
      <c r="C3" s="76"/>
      <c r="D3" s="76"/>
      <c r="E3" s="76"/>
      <c r="G3" s="87"/>
      <c r="H3" s="88"/>
      <c r="I3" s="88"/>
    </row>
    <row r="4" spans="2:13" ht="18.75" customHeight="1">
      <c r="B4" s="76"/>
      <c r="C4" s="76"/>
      <c r="D4" s="76"/>
      <c r="E4" s="76"/>
    </row>
    <row r="5" spans="2:13" ht="24">
      <c r="B5" s="33"/>
      <c r="C5" s="33"/>
      <c r="D5" s="33"/>
    </row>
    <row r="6" spans="2:13" ht="45">
      <c r="B6" s="131"/>
      <c r="C6" s="131"/>
      <c r="D6" s="131"/>
      <c r="E6" s="1"/>
      <c r="F6" s="86" t="s">
        <v>137</v>
      </c>
    </row>
    <row r="7" spans="2:13" ht="24">
      <c r="B7" s="1" t="s">
        <v>20</v>
      </c>
      <c r="C7" s="12"/>
      <c r="D7" s="90">
        <v>3000012348</v>
      </c>
      <c r="E7" s="13"/>
    </row>
    <row r="8" spans="2:13" ht="24">
      <c r="B8" s="12" t="s">
        <v>21</v>
      </c>
      <c r="C8" s="12"/>
      <c r="D8" s="12" t="str">
        <f>受給者情報!G14</f>
        <v>蟹江くるみ</v>
      </c>
      <c r="E8" t="s">
        <v>41</v>
      </c>
    </row>
    <row r="12" spans="2:13" ht="31">
      <c r="E12" s="52" t="s">
        <v>22</v>
      </c>
      <c r="F12" s="52"/>
      <c r="G12" s="52"/>
    </row>
    <row r="13" spans="2:13" ht="24">
      <c r="I13" s="14"/>
      <c r="M13" s="37"/>
    </row>
    <row r="14" spans="2:13">
      <c r="M14" s="37"/>
    </row>
    <row r="15" spans="2:13" ht="24" customHeight="1">
      <c r="G15" s="132" t="s">
        <v>23</v>
      </c>
      <c r="H15" s="49" t="s">
        <v>24</v>
      </c>
      <c r="I15" s="49"/>
      <c r="M15" s="37"/>
    </row>
    <row r="16" spans="2:13" ht="24" customHeight="1">
      <c r="G16" s="132"/>
      <c r="H16" s="133" t="s">
        <v>25</v>
      </c>
      <c r="I16" s="133"/>
      <c r="J16" s="133"/>
      <c r="M16" s="37"/>
    </row>
    <row r="17" spans="2:13" ht="40.5" customHeight="1">
      <c r="G17" s="50"/>
      <c r="H17" s="133" t="s">
        <v>27</v>
      </c>
      <c r="I17" s="133"/>
      <c r="J17" s="133"/>
      <c r="M17" s="37"/>
    </row>
    <row r="18" spans="2:13">
      <c r="G18" s="51" t="s">
        <v>28</v>
      </c>
      <c r="H18" s="51" t="str">
        <f>事業者情報!C5&amp;"　"&amp;事業者情報!C6</f>
        <v>代表取締役社長　澤田昌志</v>
      </c>
      <c r="M18" s="37"/>
    </row>
    <row r="19" spans="2:13">
      <c r="G19" s="51" t="s">
        <v>29</v>
      </c>
      <c r="H19" s="51" t="str">
        <f>事業者情報!C7&amp;""</f>
        <v>0566-63-6817</v>
      </c>
      <c r="M19" s="37"/>
    </row>
    <row r="20" spans="2:13">
      <c r="G20" s="51" t="s">
        <v>30</v>
      </c>
      <c r="H20" s="51" t="str">
        <f>事業者情報!C8&amp;""</f>
        <v>0566-63-6818</v>
      </c>
      <c r="M20" s="37"/>
    </row>
    <row r="21" spans="2:13">
      <c r="M21" s="37"/>
    </row>
    <row r="22" spans="2:13" ht="24" customHeight="1">
      <c r="B22" s="134" t="s">
        <v>135</v>
      </c>
      <c r="C22" s="134"/>
      <c r="D22" s="134"/>
      <c r="E22" s="134"/>
      <c r="F22" s="134"/>
      <c r="G22" s="134"/>
      <c r="H22" s="134"/>
      <c r="I22" s="134"/>
      <c r="M22" s="37"/>
    </row>
    <row r="23" spans="2:13" ht="24" customHeight="1">
      <c r="B23" s="134"/>
      <c r="C23" s="134"/>
      <c r="D23" s="134"/>
      <c r="E23" s="134"/>
      <c r="F23" s="134"/>
      <c r="G23" s="134"/>
      <c r="H23" s="134"/>
      <c r="I23" s="134"/>
      <c r="M23" s="37"/>
    </row>
    <row r="25" spans="2:13" ht="27">
      <c r="C25" s="98">
        <v>10</v>
      </c>
      <c r="D25" s="98" t="s">
        <v>173</v>
      </c>
      <c r="E25" s="71" t="s">
        <v>32</v>
      </c>
      <c r="F25" s="72">
        <f>H34</f>
        <v>0</v>
      </c>
      <c r="G25" s="16" t="s">
        <v>33</v>
      </c>
    </row>
    <row r="27" spans="2:13" ht="24.75" customHeight="1">
      <c r="B27" s="55"/>
      <c r="C27" s="56"/>
      <c r="D27" s="64" t="s">
        <v>42</v>
      </c>
      <c r="E27" s="136" t="s">
        <v>133</v>
      </c>
      <c r="F27" s="124"/>
      <c r="G27" s="124"/>
      <c r="H27" s="125"/>
      <c r="I27" s="12"/>
    </row>
    <row r="28" spans="2:13" ht="24.75" customHeight="1">
      <c r="B28" s="55"/>
      <c r="C28" s="56"/>
      <c r="D28" s="60" t="s">
        <v>139</v>
      </c>
      <c r="E28" s="135" t="s">
        <v>104</v>
      </c>
      <c r="F28" s="124"/>
      <c r="G28" s="124"/>
      <c r="H28" s="125"/>
      <c r="I28" s="12"/>
    </row>
    <row r="29" spans="2:13" ht="24.75" customHeight="1">
      <c r="B29" s="57"/>
      <c r="C29" s="56"/>
      <c r="D29" s="60" t="s">
        <v>43</v>
      </c>
      <c r="E29" s="126">
        <v>46010</v>
      </c>
      <c r="F29" s="124"/>
      <c r="G29" s="124"/>
      <c r="H29" s="125"/>
      <c r="I29" s="53"/>
    </row>
    <row r="30" spans="2:13" ht="24.75" customHeight="1">
      <c r="B30" s="57"/>
      <c r="C30" s="56"/>
      <c r="D30" s="65" t="s">
        <v>44</v>
      </c>
      <c r="E30" s="61"/>
      <c r="F30" s="67"/>
      <c r="G30" s="45"/>
      <c r="H30" s="46"/>
      <c r="I30" s="73" t="s">
        <v>45</v>
      </c>
    </row>
    <row r="31" spans="2:13" ht="24.75" customHeight="1">
      <c r="B31" s="57"/>
      <c r="C31" s="56"/>
      <c r="D31" s="62" t="s">
        <v>46</v>
      </c>
      <c r="E31" s="68" t="s">
        <v>35</v>
      </c>
      <c r="F31" s="67"/>
      <c r="G31" s="45"/>
      <c r="H31" s="44">
        <f>H30</f>
        <v>0</v>
      </c>
      <c r="I31" s="74" t="s">
        <v>40</v>
      </c>
    </row>
    <row r="32" spans="2:13" ht="24.75" customHeight="1">
      <c r="B32" s="57"/>
      <c r="C32" s="56"/>
      <c r="D32" s="62"/>
      <c r="E32" s="68" t="s">
        <v>36</v>
      </c>
      <c r="F32" s="67"/>
      <c r="G32" s="45"/>
      <c r="H32" s="45">
        <v>0</v>
      </c>
      <c r="I32" s="74" t="s">
        <v>40</v>
      </c>
    </row>
    <row r="33" spans="2:10" ht="24.75" customHeight="1">
      <c r="B33" s="57"/>
      <c r="C33" s="56"/>
      <c r="D33" s="62"/>
      <c r="E33" s="66" t="s">
        <v>37</v>
      </c>
      <c r="F33" s="69"/>
      <c r="G33" s="43"/>
      <c r="H33" s="59"/>
      <c r="I33" s="74" t="s">
        <v>40</v>
      </c>
    </row>
    <row r="34" spans="2:10" ht="24">
      <c r="B34" s="57"/>
      <c r="C34" s="56"/>
      <c r="D34" s="42"/>
      <c r="E34" s="38"/>
      <c r="F34" s="38"/>
      <c r="G34" s="63" t="s">
        <v>47</v>
      </c>
      <c r="H34" s="70">
        <f>SUM(H31-H32+H33)</f>
        <v>0</v>
      </c>
      <c r="I34" s="74" t="s">
        <v>40</v>
      </c>
    </row>
    <row r="35" spans="2:10" ht="24">
      <c r="B35" s="57"/>
      <c r="C35" s="56"/>
      <c r="D35" s="12"/>
      <c r="E35" s="12"/>
      <c r="F35" s="12"/>
      <c r="G35" s="12"/>
      <c r="H35" s="12"/>
      <c r="I35" s="53"/>
    </row>
    <row r="36" spans="2:10" ht="24">
      <c r="B36" s="57"/>
      <c r="C36" s="56"/>
      <c r="D36" s="12"/>
      <c r="E36" s="12"/>
      <c r="F36" s="12"/>
      <c r="G36" s="12"/>
      <c r="H36" s="12"/>
      <c r="I36" s="12"/>
    </row>
    <row r="37" spans="2:10" ht="24">
      <c r="B37" s="57"/>
      <c r="C37" s="56"/>
      <c r="D37" s="12"/>
      <c r="E37" s="12"/>
      <c r="F37" s="12"/>
      <c r="G37" s="12"/>
      <c r="H37" s="12"/>
      <c r="I37" s="12"/>
    </row>
    <row r="38" spans="2:10" ht="24">
      <c r="B38" s="57"/>
      <c r="C38" s="56"/>
      <c r="D38" s="12"/>
      <c r="E38" s="12"/>
      <c r="F38" s="12"/>
      <c r="G38" s="12"/>
      <c r="H38" s="12"/>
      <c r="I38" s="54"/>
    </row>
    <row r="39" spans="2:10" s="11" customFormat="1" ht="20.25" customHeight="1">
      <c r="B39" s="57"/>
      <c r="C39" s="58"/>
      <c r="D39" s="12"/>
      <c r="E39" s="12"/>
      <c r="F39" s="12"/>
      <c r="G39" s="12"/>
      <c r="H39" s="12"/>
      <c r="I39" s="12"/>
      <c r="J39" s="18"/>
    </row>
    <row r="40" spans="2:10" s="11" customFormat="1" ht="20.25" customHeight="1">
      <c r="B40" s="57"/>
      <c r="C40" s="58"/>
      <c r="D40" s="12"/>
      <c r="E40" s="12"/>
      <c r="F40" s="12"/>
      <c r="G40" s="12"/>
      <c r="H40" s="12"/>
      <c r="I40" s="12"/>
    </row>
    <row r="41" spans="2:10" s="11" customFormat="1" ht="20.25" customHeight="1">
      <c r="B41" s="57"/>
      <c r="C41" s="58"/>
      <c r="D41" s="12"/>
      <c r="E41" s="12"/>
      <c r="F41" s="12"/>
      <c r="G41" s="12"/>
      <c r="H41" s="12"/>
      <c r="I41" s="12"/>
    </row>
    <row r="42" spans="2:10" s="11" customFormat="1" ht="20.25" customHeight="1">
      <c r="B42" s="57"/>
      <c r="C42" s="58"/>
      <c r="D42" s="12"/>
      <c r="E42" s="12"/>
      <c r="F42" s="12"/>
      <c r="G42" s="12"/>
      <c r="H42" s="12"/>
      <c r="I42" s="12"/>
    </row>
    <row r="43" spans="2:10" ht="24">
      <c r="B43" s="1"/>
      <c r="C43" s="1"/>
      <c r="D43" s="1"/>
      <c r="E43" s="1"/>
      <c r="F43" s="1"/>
      <c r="G43" s="12"/>
      <c r="H43" s="1"/>
      <c r="I43" s="12"/>
    </row>
    <row r="44" spans="2:10" ht="24">
      <c r="B44" s="12"/>
      <c r="C44" s="12"/>
      <c r="D44" s="12"/>
      <c r="E44" s="12"/>
      <c r="F44" s="12"/>
      <c r="G44" s="12"/>
      <c r="H44" s="12"/>
      <c r="I44" s="41"/>
    </row>
    <row r="45" spans="2:10" ht="24">
      <c r="B45" s="12"/>
      <c r="C45" s="12"/>
      <c r="D45" s="12"/>
      <c r="E45" s="12"/>
      <c r="F45" s="39"/>
      <c r="G45" s="39"/>
      <c r="H45" s="40"/>
      <c r="I45" s="39"/>
    </row>
  </sheetData>
  <mergeCells count="9">
    <mergeCell ref="E27:H27"/>
    <mergeCell ref="E29:H29"/>
    <mergeCell ref="I2:J2"/>
    <mergeCell ref="B6:D6"/>
    <mergeCell ref="G15:G16"/>
    <mergeCell ref="H16:J16"/>
    <mergeCell ref="H17:J17"/>
    <mergeCell ref="B22:I23"/>
    <mergeCell ref="E28:H28"/>
  </mergeCells>
  <phoneticPr fontId="7"/>
  <dataValidations count="1">
    <dataValidation allowBlank="1" showInputMessage="1" showErrorMessage="1" sqref="H2" xr:uid="{EE96248E-B2F1-BB48-9205-2965E9F61D82}"/>
  </dataValidations>
  <pageMargins left="0.7" right="0.7" top="0.75" bottom="0.75" header="0.3" footer="0.3"/>
  <pageSetup paperSize="9" scale="77"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BCC0C-87F8-8745-A60C-09706F56D044}">
  <sheetPr codeName="Sheet38">
    <tabColor theme="4"/>
    <pageSetUpPr fitToPage="1"/>
  </sheetPr>
  <dimension ref="B1:M45"/>
  <sheetViews>
    <sheetView topLeftCell="A12" zoomScaleNormal="100" workbookViewId="0">
      <selection activeCell="L33" sqref="L33"/>
    </sheetView>
  </sheetViews>
  <sheetFormatPr baseColWidth="10" defaultColWidth="8.83203125" defaultRowHeight="18"/>
  <cols>
    <col min="1" max="1" width="8.1640625" customWidth="1"/>
    <col min="2" max="2" width="4.33203125" customWidth="1"/>
    <col min="3" max="3" width="8.5" customWidth="1"/>
    <col min="4" max="4" width="17.1640625" customWidth="1"/>
    <col min="5" max="5" width="13.6640625" customWidth="1"/>
    <col min="6" max="6" width="17.1640625" customWidth="1"/>
    <col min="7" max="7" width="13.6640625" customWidth="1"/>
    <col min="8" max="8" width="17.1640625" customWidth="1"/>
    <col min="9" max="9" width="6.5" customWidth="1"/>
    <col min="10" max="10" width="6.6640625" customWidth="1"/>
    <col min="11" max="11" width="11.1640625" customWidth="1"/>
    <col min="12" max="12" width="6.6640625" customWidth="1"/>
    <col min="13" max="13" width="15.83203125" customWidth="1"/>
    <col min="14" max="14" width="17.6640625" customWidth="1"/>
    <col min="15" max="15" width="18.1640625" customWidth="1"/>
  </cols>
  <sheetData>
    <row r="1" spans="2:13">
      <c r="I1" s="10"/>
    </row>
    <row r="2" spans="2:13" ht="24">
      <c r="B2" s="1"/>
      <c r="G2" s="87"/>
      <c r="H2" s="88"/>
      <c r="I2" s="130"/>
      <c r="J2" s="130"/>
    </row>
    <row r="3" spans="2:13" ht="24" customHeight="1">
      <c r="B3" s="76"/>
      <c r="C3" s="76"/>
      <c r="D3" s="76"/>
      <c r="E3" s="76"/>
      <c r="G3" s="87"/>
      <c r="H3" s="88"/>
      <c r="I3" s="88"/>
    </row>
    <row r="4" spans="2:13" ht="18.75" customHeight="1">
      <c r="B4" s="76"/>
      <c r="C4" s="76"/>
      <c r="D4" s="76"/>
      <c r="E4" s="76"/>
    </row>
    <row r="5" spans="2:13" ht="24">
      <c r="B5" s="33"/>
      <c r="C5" s="33"/>
      <c r="D5" s="33"/>
    </row>
    <row r="6" spans="2:13" ht="45">
      <c r="B6" s="131"/>
      <c r="C6" s="131"/>
      <c r="D6" s="131"/>
      <c r="E6" s="1"/>
      <c r="F6" s="86" t="s">
        <v>137</v>
      </c>
    </row>
    <row r="7" spans="2:13" ht="24">
      <c r="B7" s="1" t="s">
        <v>20</v>
      </c>
      <c r="C7" s="12"/>
      <c r="D7" s="90">
        <v>2319928210</v>
      </c>
      <c r="E7" s="13"/>
    </row>
    <row r="8" spans="2:13" ht="24">
      <c r="B8" s="12" t="s">
        <v>21</v>
      </c>
      <c r="C8" s="12"/>
      <c r="D8" s="12" t="str">
        <f>受給者情報!G15</f>
        <v>三輪セーザル</v>
      </c>
      <c r="E8" t="s">
        <v>41</v>
      </c>
    </row>
    <row r="12" spans="2:13" ht="31">
      <c r="E12" s="52" t="s">
        <v>22</v>
      </c>
      <c r="F12" s="52"/>
      <c r="G12" s="52"/>
    </row>
    <row r="13" spans="2:13" ht="24">
      <c r="I13" s="14"/>
      <c r="M13" s="37"/>
    </row>
    <row r="14" spans="2:13">
      <c r="M14" s="37"/>
    </row>
    <row r="15" spans="2:13" ht="24" customHeight="1">
      <c r="G15" s="132" t="s">
        <v>23</v>
      </c>
      <c r="H15" s="49" t="s">
        <v>24</v>
      </c>
      <c r="I15" s="49"/>
      <c r="M15" s="37"/>
    </row>
    <row r="16" spans="2:13" ht="24" customHeight="1">
      <c r="G16" s="132"/>
      <c r="H16" s="133" t="s">
        <v>25</v>
      </c>
      <c r="I16" s="133"/>
      <c r="J16" s="133"/>
      <c r="M16" s="37"/>
    </row>
    <row r="17" spans="2:13" ht="40.5" customHeight="1">
      <c r="G17" s="50"/>
      <c r="H17" s="133" t="s">
        <v>27</v>
      </c>
      <c r="I17" s="133"/>
      <c r="J17" s="133"/>
      <c r="M17" s="37"/>
    </row>
    <row r="18" spans="2:13">
      <c r="G18" s="51" t="s">
        <v>28</v>
      </c>
      <c r="H18" s="51" t="str">
        <f>事業者情報!C5&amp;"　"&amp;事業者情報!C6</f>
        <v>代表取締役社長　澤田昌志</v>
      </c>
      <c r="M18" s="37"/>
    </row>
    <row r="19" spans="2:13">
      <c r="G19" s="51" t="s">
        <v>29</v>
      </c>
      <c r="H19" s="51" t="str">
        <f>事業者情報!C7&amp;""</f>
        <v>0566-63-6817</v>
      </c>
      <c r="M19" s="37"/>
    </row>
    <row r="20" spans="2:13">
      <c r="G20" s="51" t="s">
        <v>30</v>
      </c>
      <c r="H20" s="51" t="str">
        <f>事業者情報!C8&amp;""</f>
        <v>0566-63-6818</v>
      </c>
      <c r="M20" s="37"/>
    </row>
    <row r="21" spans="2:13">
      <c r="M21" s="37"/>
    </row>
    <row r="22" spans="2:13" ht="24" customHeight="1">
      <c r="B22" s="134" t="s">
        <v>135</v>
      </c>
      <c r="C22" s="134"/>
      <c r="D22" s="134"/>
      <c r="E22" s="134"/>
      <c r="F22" s="134"/>
      <c r="G22" s="134"/>
      <c r="H22" s="134"/>
      <c r="I22" s="134"/>
      <c r="M22" s="37"/>
    </row>
    <row r="23" spans="2:13" ht="24" customHeight="1">
      <c r="B23" s="134"/>
      <c r="C23" s="134"/>
      <c r="D23" s="134"/>
      <c r="E23" s="134"/>
      <c r="F23" s="134"/>
      <c r="G23" s="134"/>
      <c r="H23" s="134"/>
      <c r="I23" s="134"/>
      <c r="M23" s="37"/>
    </row>
    <row r="25" spans="2:13" ht="27">
      <c r="C25" s="98">
        <v>10</v>
      </c>
      <c r="D25" s="98" t="s">
        <v>173</v>
      </c>
      <c r="E25" s="71" t="s">
        <v>32</v>
      </c>
      <c r="F25" s="72">
        <f>H34</f>
        <v>0</v>
      </c>
      <c r="G25" s="16" t="s">
        <v>33</v>
      </c>
    </row>
    <row r="27" spans="2:13" ht="24.75" customHeight="1">
      <c r="B27" s="55"/>
      <c r="C27" s="56"/>
      <c r="D27" s="64" t="s">
        <v>42</v>
      </c>
      <c r="E27" s="136" t="s">
        <v>152</v>
      </c>
      <c r="F27" s="124"/>
      <c r="G27" s="124"/>
      <c r="H27" s="125"/>
      <c r="I27" s="12"/>
    </row>
    <row r="28" spans="2:13" ht="24.75" customHeight="1">
      <c r="B28" s="55"/>
      <c r="C28" s="56"/>
      <c r="D28" s="60" t="s">
        <v>139</v>
      </c>
      <c r="E28" s="135" t="s">
        <v>104</v>
      </c>
      <c r="F28" s="124"/>
      <c r="G28" s="124"/>
      <c r="H28" s="125"/>
      <c r="I28" s="12"/>
    </row>
    <row r="29" spans="2:13" ht="24.75" customHeight="1">
      <c r="B29" s="57"/>
      <c r="C29" s="56"/>
      <c r="D29" s="60" t="s">
        <v>43</v>
      </c>
      <c r="E29" s="126">
        <v>46010</v>
      </c>
      <c r="F29" s="124"/>
      <c r="G29" s="124"/>
      <c r="H29" s="125"/>
      <c r="I29" s="53"/>
    </row>
    <row r="30" spans="2:13" ht="24.75" customHeight="1">
      <c r="B30" s="57"/>
      <c r="C30" s="56"/>
      <c r="D30" s="65" t="s">
        <v>44</v>
      </c>
      <c r="E30" s="61"/>
      <c r="F30" s="67"/>
      <c r="G30" s="45"/>
      <c r="H30" s="46"/>
      <c r="I30" s="73" t="s">
        <v>45</v>
      </c>
    </row>
    <row r="31" spans="2:13" ht="24.75" customHeight="1">
      <c r="B31" s="57"/>
      <c r="C31" s="56"/>
      <c r="D31" s="62" t="s">
        <v>46</v>
      </c>
      <c r="E31" s="68" t="s">
        <v>35</v>
      </c>
      <c r="F31" s="67"/>
      <c r="G31" s="45"/>
      <c r="H31" s="44">
        <f>H30</f>
        <v>0</v>
      </c>
      <c r="I31" s="74" t="s">
        <v>40</v>
      </c>
    </row>
    <row r="32" spans="2:13" ht="24.75" customHeight="1">
      <c r="B32" s="57"/>
      <c r="C32" s="56"/>
      <c r="D32" s="62"/>
      <c r="E32" s="68" t="s">
        <v>36</v>
      </c>
      <c r="F32" s="67"/>
      <c r="G32" s="45"/>
      <c r="H32" s="45">
        <v>0</v>
      </c>
      <c r="I32" s="74" t="s">
        <v>40</v>
      </c>
    </row>
    <row r="33" spans="2:10" ht="24.75" customHeight="1">
      <c r="B33" s="57"/>
      <c r="C33" s="56"/>
      <c r="D33" s="62"/>
      <c r="E33" s="66" t="s">
        <v>37</v>
      </c>
      <c r="F33" s="69"/>
      <c r="G33" s="43"/>
      <c r="H33" s="59"/>
      <c r="I33" s="74" t="s">
        <v>40</v>
      </c>
    </row>
    <row r="34" spans="2:10" ht="24">
      <c r="B34" s="57"/>
      <c r="C34" s="56"/>
      <c r="D34" s="42"/>
      <c r="E34" s="38"/>
      <c r="F34" s="38"/>
      <c r="G34" s="63" t="s">
        <v>47</v>
      </c>
      <c r="H34" s="70">
        <f>SUM(H31-H32+H33)</f>
        <v>0</v>
      </c>
      <c r="I34" s="74" t="s">
        <v>40</v>
      </c>
    </row>
    <row r="35" spans="2:10" ht="24">
      <c r="B35" s="57"/>
      <c r="C35" s="56"/>
      <c r="D35" s="12"/>
      <c r="E35" s="12"/>
      <c r="F35" s="12"/>
      <c r="G35" s="12"/>
      <c r="H35" s="12"/>
      <c r="I35" s="53"/>
    </row>
    <row r="36" spans="2:10" ht="24">
      <c r="B36" s="57"/>
      <c r="C36" s="56"/>
      <c r="D36" s="12"/>
      <c r="E36" s="12"/>
      <c r="F36" s="12"/>
      <c r="G36" s="12"/>
      <c r="H36" s="12"/>
      <c r="I36" s="12"/>
    </row>
    <row r="37" spans="2:10" ht="24">
      <c r="B37" s="57"/>
      <c r="C37" s="56"/>
      <c r="D37" s="12"/>
      <c r="E37" s="12"/>
      <c r="F37" s="12"/>
      <c r="G37" s="12"/>
      <c r="H37" s="12"/>
      <c r="I37" s="12"/>
    </row>
    <row r="38" spans="2:10" ht="24">
      <c r="B38" s="57"/>
      <c r="C38" s="56"/>
      <c r="D38" s="12"/>
      <c r="E38" s="12"/>
      <c r="F38" s="12"/>
      <c r="G38" s="12"/>
      <c r="H38" s="12"/>
      <c r="I38" s="54"/>
    </row>
    <row r="39" spans="2:10" s="11" customFormat="1" ht="20.25" customHeight="1">
      <c r="B39" s="57"/>
      <c r="C39" s="58"/>
      <c r="D39" s="12"/>
      <c r="E39" s="12"/>
      <c r="F39" s="12"/>
      <c r="G39" s="12"/>
      <c r="H39" s="12"/>
      <c r="I39" s="12"/>
      <c r="J39" s="18"/>
    </row>
    <row r="40" spans="2:10" s="11" customFormat="1" ht="20.25" customHeight="1">
      <c r="B40" s="57"/>
      <c r="C40" s="58"/>
      <c r="D40" s="12"/>
      <c r="E40" s="12"/>
      <c r="F40" s="12"/>
      <c r="G40" s="12"/>
      <c r="H40" s="12"/>
      <c r="I40" s="12"/>
    </row>
    <row r="41" spans="2:10" s="11" customFormat="1" ht="20.25" customHeight="1">
      <c r="B41" s="57"/>
      <c r="C41" s="58"/>
      <c r="D41" s="12"/>
      <c r="E41" s="12"/>
      <c r="F41" s="12"/>
      <c r="G41" s="12"/>
      <c r="H41" s="12"/>
      <c r="I41" s="12"/>
    </row>
    <row r="42" spans="2:10" s="11" customFormat="1" ht="20.25" customHeight="1">
      <c r="B42" s="57"/>
      <c r="C42" s="58"/>
      <c r="D42" s="12"/>
      <c r="E42" s="12"/>
      <c r="F42" s="12"/>
      <c r="G42" s="12"/>
      <c r="H42" s="12"/>
      <c r="I42" s="12"/>
    </row>
    <row r="43" spans="2:10" ht="24">
      <c r="B43" s="1"/>
      <c r="C43" s="1"/>
      <c r="D43" s="1"/>
      <c r="E43" s="1"/>
      <c r="F43" s="1"/>
      <c r="G43" s="12"/>
      <c r="H43" s="1"/>
      <c r="I43" s="12"/>
    </row>
    <row r="44" spans="2:10" ht="24">
      <c r="B44" s="12"/>
      <c r="C44" s="12"/>
      <c r="D44" s="12"/>
      <c r="E44" s="12"/>
      <c r="F44" s="12"/>
      <c r="G44" s="12"/>
      <c r="H44" s="12"/>
      <c r="I44" s="41"/>
    </row>
    <row r="45" spans="2:10" ht="24">
      <c r="B45" s="12"/>
      <c r="C45" s="12"/>
      <c r="D45" s="12"/>
      <c r="E45" s="12"/>
      <c r="F45" s="39"/>
      <c r="G45" s="39"/>
      <c r="H45" s="40"/>
      <c r="I45" s="39"/>
    </row>
  </sheetData>
  <mergeCells count="9">
    <mergeCell ref="E27:H27"/>
    <mergeCell ref="E29:H29"/>
    <mergeCell ref="I2:J2"/>
    <mergeCell ref="B6:D6"/>
    <mergeCell ref="G15:G16"/>
    <mergeCell ref="H16:J16"/>
    <mergeCell ref="H17:J17"/>
    <mergeCell ref="B22:I23"/>
    <mergeCell ref="E28:H28"/>
  </mergeCells>
  <phoneticPr fontId="7"/>
  <dataValidations count="1">
    <dataValidation allowBlank="1" showInputMessage="1" showErrorMessage="1" sqref="H2" xr:uid="{42A4E053-07A9-3441-9F32-6CD59796016D}"/>
  </dataValidations>
  <pageMargins left="0.7" right="0.7" top="0.75" bottom="0.75" header="0.3" footer="0.3"/>
  <pageSetup paperSize="9" scale="77"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1CCDA-3D0E-8F4D-9FA9-95E1165BE01B}">
  <sheetPr codeName="Sheet39">
    <tabColor theme="4"/>
    <pageSetUpPr fitToPage="1"/>
  </sheetPr>
  <dimension ref="B1:M45"/>
  <sheetViews>
    <sheetView topLeftCell="A16" zoomScaleNormal="100" workbookViewId="0">
      <selection activeCell="L33" sqref="L33"/>
    </sheetView>
  </sheetViews>
  <sheetFormatPr baseColWidth="10" defaultColWidth="8.83203125" defaultRowHeight="18"/>
  <cols>
    <col min="1" max="1" width="8.1640625" customWidth="1"/>
    <col min="2" max="2" width="4.33203125" customWidth="1"/>
    <col min="3" max="3" width="8.5" customWidth="1"/>
    <col min="4" max="4" width="17.1640625" customWidth="1"/>
    <col min="5" max="5" width="13.6640625" customWidth="1"/>
    <col min="6" max="6" width="17.1640625" customWidth="1"/>
    <col min="7" max="7" width="13.6640625" customWidth="1"/>
    <col min="8" max="8" width="17.1640625" customWidth="1"/>
    <col min="9" max="9" width="6.5" customWidth="1"/>
    <col min="10" max="10" width="6.6640625" customWidth="1"/>
    <col min="11" max="11" width="11.1640625" customWidth="1"/>
    <col min="12" max="12" width="6.6640625" customWidth="1"/>
    <col min="13" max="13" width="15.83203125" customWidth="1"/>
    <col min="14" max="14" width="17.6640625" customWidth="1"/>
    <col min="15" max="15" width="18.1640625" customWidth="1"/>
  </cols>
  <sheetData>
    <row r="1" spans="2:13">
      <c r="I1" s="10"/>
    </row>
    <row r="2" spans="2:13" ht="24">
      <c r="B2" s="1"/>
      <c r="G2" s="87"/>
      <c r="H2" s="88"/>
      <c r="I2" s="130"/>
      <c r="J2" s="130"/>
    </row>
    <row r="3" spans="2:13" ht="24" customHeight="1">
      <c r="B3" s="76"/>
      <c r="C3" s="76"/>
      <c r="D3" s="76"/>
      <c r="E3" s="76"/>
      <c r="G3" s="87"/>
      <c r="H3" s="88"/>
      <c r="I3" s="88"/>
    </row>
    <row r="4" spans="2:13" ht="18.75" customHeight="1">
      <c r="B4" s="76"/>
      <c r="C4" s="76"/>
      <c r="D4" s="76"/>
      <c r="E4" s="76"/>
    </row>
    <row r="5" spans="2:13" ht="24">
      <c r="B5" s="33"/>
      <c r="C5" s="33"/>
      <c r="D5" s="33"/>
    </row>
    <row r="6" spans="2:13" ht="45">
      <c r="B6" s="131"/>
      <c r="C6" s="131"/>
      <c r="D6" s="131"/>
      <c r="E6" s="1"/>
      <c r="F6" s="86" t="s">
        <v>137</v>
      </c>
    </row>
    <row r="7" spans="2:13" ht="24">
      <c r="B7" s="1" t="s">
        <v>20</v>
      </c>
      <c r="C7" s="12"/>
      <c r="D7" s="92">
        <v>2196</v>
      </c>
      <c r="E7" s="13"/>
    </row>
    <row r="8" spans="2:13" ht="24">
      <c r="B8" s="12" t="s">
        <v>21</v>
      </c>
      <c r="C8" s="12"/>
      <c r="D8" s="12" t="str">
        <f>受給者情報!G16</f>
        <v>黒田瞳</v>
      </c>
      <c r="E8" t="s">
        <v>41</v>
      </c>
    </row>
    <row r="12" spans="2:13" ht="31">
      <c r="E12" s="52" t="s">
        <v>22</v>
      </c>
      <c r="F12" s="52"/>
      <c r="G12" s="52"/>
    </row>
    <row r="13" spans="2:13" ht="24">
      <c r="I13" s="14"/>
      <c r="M13" s="37"/>
    </row>
    <row r="14" spans="2:13">
      <c r="M14" s="37"/>
    </row>
    <row r="15" spans="2:13" ht="24" customHeight="1">
      <c r="G15" s="132" t="s">
        <v>23</v>
      </c>
      <c r="H15" s="49" t="s">
        <v>24</v>
      </c>
      <c r="I15" s="49"/>
      <c r="M15" s="37"/>
    </row>
    <row r="16" spans="2:13" ht="24" customHeight="1">
      <c r="G16" s="132"/>
      <c r="H16" s="133" t="s">
        <v>25</v>
      </c>
      <c r="I16" s="133"/>
      <c r="J16" s="133"/>
      <c r="M16" s="37"/>
    </row>
    <row r="17" spans="2:13" ht="40.5" customHeight="1">
      <c r="G17" s="50"/>
      <c r="H17" s="133" t="s">
        <v>27</v>
      </c>
      <c r="I17" s="133"/>
      <c r="J17" s="133"/>
      <c r="M17" s="37"/>
    </row>
    <row r="18" spans="2:13">
      <c r="G18" s="51" t="s">
        <v>28</v>
      </c>
      <c r="H18" s="51" t="str">
        <f>事業者情報!C5&amp;"　"&amp;事業者情報!C6</f>
        <v>代表取締役社長　澤田昌志</v>
      </c>
      <c r="M18" s="37"/>
    </row>
    <row r="19" spans="2:13">
      <c r="G19" s="51" t="s">
        <v>29</v>
      </c>
      <c r="H19" s="51" t="str">
        <f>事業者情報!C7&amp;""</f>
        <v>0566-63-6817</v>
      </c>
      <c r="M19" s="37"/>
    </row>
    <row r="20" spans="2:13">
      <c r="G20" s="51" t="s">
        <v>30</v>
      </c>
      <c r="H20" s="51" t="str">
        <f>事業者情報!C8&amp;""</f>
        <v>0566-63-6818</v>
      </c>
      <c r="M20" s="37"/>
    </row>
    <row r="21" spans="2:13">
      <c r="M21" s="37"/>
    </row>
    <row r="22" spans="2:13" ht="24" customHeight="1">
      <c r="B22" s="134" t="s">
        <v>135</v>
      </c>
      <c r="C22" s="134"/>
      <c r="D22" s="134"/>
      <c r="E22" s="134"/>
      <c r="F22" s="134"/>
      <c r="G22" s="134"/>
      <c r="H22" s="134"/>
      <c r="I22" s="134"/>
      <c r="M22" s="37"/>
    </row>
    <row r="23" spans="2:13" ht="24" customHeight="1">
      <c r="B23" s="134"/>
      <c r="C23" s="134"/>
      <c r="D23" s="134"/>
      <c r="E23" s="134"/>
      <c r="F23" s="134"/>
      <c r="G23" s="134"/>
      <c r="H23" s="134"/>
      <c r="I23" s="134"/>
      <c r="M23" s="37"/>
    </row>
    <row r="25" spans="2:13" ht="27">
      <c r="C25" s="98">
        <v>10</v>
      </c>
      <c r="D25" s="98" t="s">
        <v>173</v>
      </c>
      <c r="E25" s="71" t="s">
        <v>32</v>
      </c>
      <c r="F25" s="72">
        <f>H34</f>
        <v>0</v>
      </c>
      <c r="G25" s="16" t="s">
        <v>33</v>
      </c>
    </row>
    <row r="27" spans="2:13" ht="24.75" customHeight="1">
      <c r="B27" s="55"/>
      <c r="C27" s="56"/>
      <c r="D27" s="64" t="s">
        <v>42</v>
      </c>
      <c r="E27" s="136" t="s">
        <v>168</v>
      </c>
      <c r="F27" s="124"/>
      <c r="G27" s="124"/>
      <c r="H27" s="125"/>
      <c r="I27" s="12"/>
    </row>
    <row r="28" spans="2:13" ht="24.75" customHeight="1">
      <c r="B28" s="55"/>
      <c r="C28" s="56"/>
      <c r="D28" s="60" t="s">
        <v>139</v>
      </c>
      <c r="E28" s="135" t="s">
        <v>104</v>
      </c>
      <c r="F28" s="124"/>
      <c r="G28" s="124"/>
      <c r="H28" s="125"/>
      <c r="I28" s="12"/>
    </row>
    <row r="29" spans="2:13" ht="24.75" customHeight="1">
      <c r="B29" s="57"/>
      <c r="C29" s="56"/>
      <c r="D29" s="60" t="s">
        <v>43</v>
      </c>
      <c r="E29" s="126">
        <v>46010</v>
      </c>
      <c r="F29" s="124"/>
      <c r="G29" s="124"/>
      <c r="H29" s="125"/>
      <c r="I29" s="53"/>
    </row>
    <row r="30" spans="2:13" ht="24.75" customHeight="1">
      <c r="B30" s="57"/>
      <c r="C30" s="56"/>
      <c r="D30" s="65" t="s">
        <v>44</v>
      </c>
      <c r="E30" s="61"/>
      <c r="F30" s="67"/>
      <c r="G30" s="45"/>
      <c r="H30" s="104"/>
      <c r="I30" s="73" t="s">
        <v>45</v>
      </c>
    </row>
    <row r="31" spans="2:13" ht="24.75" customHeight="1">
      <c r="B31" s="57"/>
      <c r="C31" s="56"/>
      <c r="D31" s="62" t="s">
        <v>46</v>
      </c>
      <c r="E31" s="68" t="s">
        <v>35</v>
      </c>
      <c r="F31" s="67"/>
      <c r="G31" s="45"/>
      <c r="H31" s="101">
        <f>H30</f>
        <v>0</v>
      </c>
      <c r="I31" s="74" t="s">
        <v>40</v>
      </c>
    </row>
    <row r="32" spans="2:13" ht="24.75" customHeight="1">
      <c r="B32" s="57"/>
      <c r="C32" s="56"/>
      <c r="D32" s="62"/>
      <c r="E32" s="68" t="s">
        <v>36</v>
      </c>
      <c r="F32" s="67"/>
      <c r="G32" s="45"/>
      <c r="H32" s="102">
        <v>0</v>
      </c>
      <c r="I32" s="74" t="s">
        <v>40</v>
      </c>
    </row>
    <row r="33" spans="2:10" ht="24.75" customHeight="1">
      <c r="B33" s="57"/>
      <c r="C33" s="56"/>
      <c r="D33" s="62"/>
      <c r="E33" s="66" t="s">
        <v>37</v>
      </c>
      <c r="F33" s="69"/>
      <c r="G33" s="43"/>
      <c r="H33" s="103">
        <v>0</v>
      </c>
      <c r="I33" s="74" t="s">
        <v>40</v>
      </c>
    </row>
    <row r="34" spans="2:10" ht="24">
      <c r="B34" s="57"/>
      <c r="C34" s="56"/>
      <c r="D34" s="42"/>
      <c r="E34" s="38"/>
      <c r="F34" s="38"/>
      <c r="G34" s="63" t="s">
        <v>47</v>
      </c>
      <c r="H34" s="96">
        <f>SUM(H31-H32+H33)</f>
        <v>0</v>
      </c>
      <c r="I34" s="74" t="s">
        <v>40</v>
      </c>
    </row>
    <row r="35" spans="2:10" ht="24">
      <c r="B35" s="57"/>
      <c r="C35" s="56"/>
      <c r="D35" s="12"/>
      <c r="E35" s="12"/>
      <c r="F35" s="12"/>
      <c r="G35" s="12"/>
      <c r="H35" s="105"/>
      <c r="I35" s="53"/>
    </row>
    <row r="36" spans="2:10" ht="24">
      <c r="B36" s="57"/>
      <c r="C36" s="56"/>
      <c r="D36" s="12"/>
      <c r="E36" s="12"/>
      <c r="F36" s="12"/>
      <c r="G36" s="12"/>
      <c r="H36" s="12"/>
      <c r="I36" s="12"/>
    </row>
    <row r="37" spans="2:10" ht="24">
      <c r="B37" s="57"/>
      <c r="C37" s="56"/>
      <c r="D37" s="12"/>
      <c r="E37" s="12"/>
      <c r="F37" s="12"/>
      <c r="G37" s="12"/>
      <c r="H37" s="12"/>
      <c r="I37" s="12"/>
    </row>
    <row r="38" spans="2:10" ht="24">
      <c r="B38" s="57"/>
      <c r="C38" s="56"/>
      <c r="D38" s="12"/>
      <c r="E38" s="12"/>
      <c r="F38" s="12"/>
      <c r="G38" s="12"/>
      <c r="H38" s="12"/>
      <c r="I38" s="54"/>
    </row>
    <row r="39" spans="2:10" s="11" customFormat="1" ht="20.25" customHeight="1">
      <c r="B39" s="57"/>
      <c r="C39" s="58"/>
      <c r="D39" s="12"/>
      <c r="E39" s="12"/>
      <c r="F39" s="12"/>
      <c r="G39" s="12"/>
      <c r="H39" s="12"/>
      <c r="I39" s="12"/>
      <c r="J39" s="18"/>
    </row>
    <row r="40" spans="2:10" s="11" customFormat="1" ht="20.25" customHeight="1">
      <c r="B40" s="57"/>
      <c r="C40" s="58"/>
      <c r="D40" s="12"/>
      <c r="E40" s="12"/>
      <c r="F40" s="12"/>
      <c r="G40" s="12"/>
      <c r="H40" s="12"/>
      <c r="I40" s="12"/>
    </row>
    <row r="41" spans="2:10" s="11" customFormat="1" ht="20.25" customHeight="1">
      <c r="B41" s="57"/>
      <c r="C41" s="58"/>
      <c r="D41" s="12"/>
      <c r="E41" s="12"/>
      <c r="F41" s="12"/>
      <c r="G41" s="12"/>
      <c r="H41" s="12"/>
      <c r="I41" s="12"/>
    </row>
    <row r="42" spans="2:10" s="11" customFormat="1" ht="20.25" customHeight="1">
      <c r="B42" s="57"/>
      <c r="C42" s="58"/>
      <c r="D42" s="12"/>
      <c r="E42" s="12"/>
      <c r="F42" s="12"/>
      <c r="G42" s="12"/>
      <c r="H42" s="12"/>
      <c r="I42" s="12"/>
    </row>
    <row r="43" spans="2:10" ht="24">
      <c r="B43" s="1"/>
      <c r="C43" s="1"/>
      <c r="D43" s="1"/>
      <c r="E43" s="1"/>
      <c r="F43" s="1"/>
      <c r="G43" s="12"/>
      <c r="H43" s="1"/>
      <c r="I43" s="12"/>
    </row>
    <row r="44" spans="2:10" ht="24">
      <c r="B44" s="12"/>
      <c r="C44" s="12"/>
      <c r="D44" s="12"/>
      <c r="E44" s="12"/>
      <c r="F44" s="12"/>
      <c r="G44" s="12"/>
      <c r="H44" s="12"/>
      <c r="I44" s="41"/>
    </row>
    <row r="45" spans="2:10" ht="24">
      <c r="B45" s="12"/>
      <c r="C45" s="12"/>
      <c r="D45" s="12"/>
      <c r="E45" s="12"/>
      <c r="F45" s="39"/>
      <c r="G45" s="39"/>
      <c r="H45" s="40"/>
      <c r="I45" s="39"/>
    </row>
  </sheetData>
  <mergeCells count="9">
    <mergeCell ref="E27:H27"/>
    <mergeCell ref="E29:H29"/>
    <mergeCell ref="I2:J2"/>
    <mergeCell ref="B6:D6"/>
    <mergeCell ref="G15:G16"/>
    <mergeCell ref="H16:J16"/>
    <mergeCell ref="H17:J17"/>
    <mergeCell ref="B22:I23"/>
    <mergeCell ref="E28:H28"/>
  </mergeCells>
  <phoneticPr fontId="7"/>
  <dataValidations count="1">
    <dataValidation allowBlank="1" showInputMessage="1" showErrorMessage="1" sqref="H2" xr:uid="{1B827842-4E45-9C4A-9BF1-0DF113C3F094}"/>
  </dataValidations>
  <pageMargins left="0.7" right="0.7" top="0.75" bottom="0.75" header="0.3" footer="0.3"/>
  <pageSetup paperSize="9" scale="77"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DF3E1-EA15-4546-856F-8B1563A33D19}">
  <sheetPr codeName="Sheet40">
    <tabColor theme="4"/>
    <pageSetUpPr fitToPage="1"/>
  </sheetPr>
  <dimension ref="B1:M45"/>
  <sheetViews>
    <sheetView topLeftCell="A10" zoomScaleNormal="100" workbookViewId="0">
      <selection activeCell="L33" sqref="L33"/>
    </sheetView>
  </sheetViews>
  <sheetFormatPr baseColWidth="10" defaultColWidth="8.83203125" defaultRowHeight="18"/>
  <cols>
    <col min="1" max="1" width="8.1640625" customWidth="1"/>
    <col min="2" max="2" width="4.33203125" customWidth="1"/>
    <col min="3" max="3" width="8.5" customWidth="1"/>
    <col min="4" max="4" width="17.1640625" customWidth="1"/>
    <col min="5" max="5" width="13.6640625" customWidth="1"/>
    <col min="6" max="6" width="17.1640625" customWidth="1"/>
    <col min="7" max="7" width="13.6640625" customWidth="1"/>
    <col min="8" max="8" width="17.1640625" customWidth="1"/>
    <col min="9" max="9" width="6.5" customWidth="1"/>
    <col min="10" max="10" width="6.6640625" customWidth="1"/>
    <col min="11" max="11" width="11.1640625" customWidth="1"/>
    <col min="12" max="12" width="6.6640625" customWidth="1"/>
    <col min="13" max="13" width="15.83203125" customWidth="1"/>
    <col min="14" max="14" width="17.6640625" customWidth="1"/>
    <col min="15" max="15" width="18.1640625" customWidth="1"/>
  </cols>
  <sheetData>
    <row r="1" spans="2:13">
      <c r="I1" s="10"/>
    </row>
    <row r="2" spans="2:13" ht="24">
      <c r="B2" s="1"/>
      <c r="G2" s="87"/>
      <c r="H2" s="88"/>
      <c r="I2" s="130"/>
      <c r="J2" s="130"/>
    </row>
    <row r="3" spans="2:13" ht="24" customHeight="1">
      <c r="B3" s="76"/>
      <c r="C3" s="76"/>
      <c r="D3" s="76"/>
      <c r="E3" s="76"/>
      <c r="G3" s="87"/>
      <c r="H3" s="88"/>
      <c r="I3" s="88"/>
    </row>
    <row r="4" spans="2:13" ht="18.75" customHeight="1">
      <c r="B4" s="76"/>
      <c r="C4" s="76"/>
      <c r="D4" s="76"/>
      <c r="E4" s="76"/>
    </row>
    <row r="5" spans="2:13" ht="24">
      <c r="B5" s="33"/>
      <c r="C5" s="33"/>
      <c r="D5" s="33"/>
    </row>
    <row r="6" spans="2:13" ht="45">
      <c r="B6" s="131"/>
      <c r="C6" s="131"/>
      <c r="D6" s="131"/>
      <c r="E6" s="1"/>
      <c r="F6" s="86" t="s">
        <v>137</v>
      </c>
    </row>
    <row r="7" spans="2:13" ht="24">
      <c r="B7" s="1" t="s">
        <v>20</v>
      </c>
      <c r="C7" s="12"/>
      <c r="D7" s="90">
        <v>3000000962</v>
      </c>
      <c r="E7" s="13"/>
    </row>
    <row r="8" spans="2:13" ht="24">
      <c r="B8" s="12" t="s">
        <v>21</v>
      </c>
      <c r="C8" s="12"/>
      <c r="D8" s="12" t="str">
        <f>受給者情報!G17</f>
        <v>磯村英男</v>
      </c>
      <c r="E8" t="s">
        <v>41</v>
      </c>
    </row>
    <row r="12" spans="2:13" ht="31">
      <c r="E12" s="52" t="s">
        <v>22</v>
      </c>
      <c r="F12" s="52"/>
      <c r="G12" s="52"/>
    </row>
    <row r="13" spans="2:13" ht="24">
      <c r="I13" s="14"/>
      <c r="M13" s="37"/>
    </row>
    <row r="14" spans="2:13">
      <c r="M14" s="37"/>
    </row>
    <row r="15" spans="2:13" ht="24" customHeight="1">
      <c r="G15" s="132" t="s">
        <v>23</v>
      </c>
      <c r="H15" s="49" t="s">
        <v>24</v>
      </c>
      <c r="I15" s="49"/>
      <c r="M15" s="37"/>
    </row>
    <row r="16" spans="2:13" ht="24" customHeight="1">
      <c r="G16" s="132"/>
      <c r="H16" s="133" t="s">
        <v>25</v>
      </c>
      <c r="I16" s="133"/>
      <c r="J16" s="133"/>
      <c r="M16" s="37"/>
    </row>
    <row r="17" spans="2:13" ht="40.5" customHeight="1">
      <c r="G17" s="50"/>
      <c r="H17" s="133" t="s">
        <v>27</v>
      </c>
      <c r="I17" s="133"/>
      <c r="J17" s="133"/>
      <c r="M17" s="37"/>
    </row>
    <row r="18" spans="2:13">
      <c r="G18" s="51" t="s">
        <v>28</v>
      </c>
      <c r="H18" s="51" t="str">
        <f>事業者情報!C5&amp;"　"&amp;事業者情報!C6</f>
        <v>代表取締役社長　澤田昌志</v>
      </c>
      <c r="M18" s="37"/>
    </row>
    <row r="19" spans="2:13">
      <c r="G19" s="51" t="s">
        <v>29</v>
      </c>
      <c r="H19" s="51" t="str">
        <f>事業者情報!C7&amp;""</f>
        <v>0566-63-6817</v>
      </c>
      <c r="M19" s="37"/>
    </row>
    <row r="20" spans="2:13">
      <c r="G20" s="51" t="s">
        <v>30</v>
      </c>
      <c r="H20" s="51" t="str">
        <f>事業者情報!C8&amp;""</f>
        <v>0566-63-6818</v>
      </c>
      <c r="M20" s="37"/>
    </row>
    <row r="21" spans="2:13">
      <c r="M21" s="37"/>
    </row>
    <row r="22" spans="2:13" ht="24" customHeight="1">
      <c r="B22" s="134" t="s">
        <v>135</v>
      </c>
      <c r="C22" s="134"/>
      <c r="D22" s="134"/>
      <c r="E22" s="134"/>
      <c r="F22" s="134"/>
      <c r="G22" s="134"/>
      <c r="H22" s="134"/>
      <c r="I22" s="134"/>
      <c r="M22" s="37"/>
    </row>
    <row r="23" spans="2:13" ht="24" customHeight="1">
      <c r="B23" s="134"/>
      <c r="C23" s="134"/>
      <c r="D23" s="134"/>
      <c r="E23" s="134"/>
      <c r="F23" s="134"/>
      <c r="G23" s="134"/>
      <c r="H23" s="134"/>
      <c r="I23" s="134"/>
      <c r="M23" s="37"/>
    </row>
    <row r="25" spans="2:13" ht="27">
      <c r="C25" s="98">
        <v>10</v>
      </c>
      <c r="D25" s="98" t="s">
        <v>173</v>
      </c>
      <c r="E25" s="71" t="s">
        <v>32</v>
      </c>
      <c r="F25" s="72">
        <f>H34</f>
        <v>0</v>
      </c>
      <c r="G25" s="16" t="s">
        <v>33</v>
      </c>
    </row>
    <row r="27" spans="2:13" ht="24.75" customHeight="1">
      <c r="B27" s="55"/>
      <c r="C27" s="56"/>
      <c r="D27" s="64" t="s">
        <v>42</v>
      </c>
      <c r="E27" s="136" t="s">
        <v>133</v>
      </c>
      <c r="F27" s="124"/>
      <c r="G27" s="124"/>
      <c r="H27" s="125"/>
      <c r="I27" s="12"/>
    </row>
    <row r="28" spans="2:13" ht="24.75" customHeight="1">
      <c r="B28" s="55"/>
      <c r="C28" s="56"/>
      <c r="D28" s="60" t="s">
        <v>139</v>
      </c>
      <c r="E28" s="135" t="s">
        <v>104</v>
      </c>
      <c r="F28" s="124"/>
      <c r="G28" s="124"/>
      <c r="H28" s="125"/>
      <c r="I28" s="12"/>
    </row>
    <row r="29" spans="2:13" ht="24.75" customHeight="1">
      <c r="B29" s="57"/>
      <c r="C29" s="56"/>
      <c r="D29" s="60" t="s">
        <v>43</v>
      </c>
      <c r="E29" s="126">
        <v>46010</v>
      </c>
      <c r="F29" s="124"/>
      <c r="G29" s="124"/>
      <c r="H29" s="125"/>
      <c r="I29" s="53"/>
    </row>
    <row r="30" spans="2:13" ht="24.75" customHeight="1">
      <c r="B30" s="57"/>
      <c r="C30" s="56"/>
      <c r="D30" s="65" t="s">
        <v>44</v>
      </c>
      <c r="E30" s="61"/>
      <c r="F30" s="67"/>
      <c r="G30" s="45"/>
      <c r="H30" s="104"/>
      <c r="I30" s="73" t="s">
        <v>45</v>
      </c>
    </row>
    <row r="31" spans="2:13" ht="24.75" customHeight="1">
      <c r="B31" s="57"/>
      <c r="C31" s="56"/>
      <c r="D31" s="62" t="s">
        <v>46</v>
      </c>
      <c r="E31" s="68" t="s">
        <v>35</v>
      </c>
      <c r="F31" s="67"/>
      <c r="G31" s="45"/>
      <c r="H31" s="101">
        <f>H30</f>
        <v>0</v>
      </c>
      <c r="I31" s="74" t="s">
        <v>40</v>
      </c>
    </row>
    <row r="32" spans="2:13" ht="24.75" customHeight="1">
      <c r="B32" s="57"/>
      <c r="C32" s="56"/>
      <c r="D32" s="62"/>
      <c r="E32" s="68" t="s">
        <v>36</v>
      </c>
      <c r="F32" s="67"/>
      <c r="G32" s="45"/>
      <c r="H32" s="102">
        <v>0</v>
      </c>
      <c r="I32" s="74" t="s">
        <v>40</v>
      </c>
    </row>
    <row r="33" spans="2:10" ht="24.75" customHeight="1">
      <c r="B33" s="57"/>
      <c r="C33" s="56"/>
      <c r="D33" s="62"/>
      <c r="E33" s="66" t="s">
        <v>37</v>
      </c>
      <c r="F33" s="69"/>
      <c r="G33" s="43"/>
      <c r="H33" s="103">
        <v>0</v>
      </c>
      <c r="I33" s="74" t="s">
        <v>40</v>
      </c>
    </row>
    <row r="34" spans="2:10" ht="24">
      <c r="B34" s="57"/>
      <c r="C34" s="56"/>
      <c r="D34" s="42"/>
      <c r="E34" s="38"/>
      <c r="F34" s="38"/>
      <c r="G34" s="63" t="s">
        <v>47</v>
      </c>
      <c r="H34" s="96">
        <f>SUM(H31-H32+H33)</f>
        <v>0</v>
      </c>
      <c r="I34" s="74" t="s">
        <v>40</v>
      </c>
    </row>
    <row r="35" spans="2:10" ht="24">
      <c r="B35" s="57"/>
      <c r="C35" s="56"/>
      <c r="D35" s="12"/>
      <c r="E35" s="12"/>
      <c r="F35" s="12"/>
      <c r="G35" s="12"/>
      <c r="H35" s="105"/>
      <c r="I35" s="53"/>
    </row>
    <row r="36" spans="2:10" ht="24">
      <c r="B36" s="57"/>
      <c r="C36" s="56"/>
      <c r="D36" s="12"/>
      <c r="E36" s="12"/>
      <c r="F36" s="12"/>
      <c r="G36" s="12"/>
      <c r="H36" s="105"/>
      <c r="I36" s="12"/>
    </row>
    <row r="37" spans="2:10" ht="24">
      <c r="B37" s="57"/>
      <c r="C37" s="56"/>
      <c r="D37" s="12"/>
      <c r="E37" s="12"/>
      <c r="F37" s="12"/>
      <c r="G37" s="12"/>
      <c r="H37" s="12"/>
      <c r="I37" s="12"/>
    </row>
    <row r="38" spans="2:10" ht="24">
      <c r="B38" s="57"/>
      <c r="C38" s="56"/>
      <c r="D38" s="12"/>
      <c r="E38" s="12"/>
      <c r="F38" s="12"/>
      <c r="G38" s="12"/>
      <c r="H38" s="12"/>
      <c r="I38" s="54"/>
    </row>
    <row r="39" spans="2:10" s="11" customFormat="1" ht="20.25" customHeight="1">
      <c r="B39" s="57"/>
      <c r="C39" s="58"/>
      <c r="D39" s="12"/>
      <c r="E39" s="12"/>
      <c r="F39" s="12"/>
      <c r="G39" s="12"/>
      <c r="H39" s="12"/>
      <c r="I39" s="12"/>
      <c r="J39" s="18"/>
    </row>
    <row r="40" spans="2:10" s="11" customFormat="1" ht="20.25" customHeight="1">
      <c r="B40" s="57"/>
      <c r="C40" s="58"/>
      <c r="D40" s="12"/>
      <c r="E40" s="12"/>
      <c r="F40" s="12"/>
      <c r="G40" s="12"/>
      <c r="H40" s="12"/>
      <c r="I40" s="12"/>
    </row>
    <row r="41" spans="2:10" s="11" customFormat="1" ht="20.25" customHeight="1">
      <c r="B41" s="57"/>
      <c r="C41" s="58"/>
      <c r="D41" s="12"/>
      <c r="E41" s="12"/>
      <c r="F41" s="12"/>
      <c r="G41" s="12"/>
      <c r="H41" s="12"/>
      <c r="I41" s="12"/>
    </row>
    <row r="42" spans="2:10" s="11" customFormat="1" ht="20.25" customHeight="1">
      <c r="B42" s="57"/>
      <c r="C42" s="58"/>
      <c r="D42" s="12"/>
      <c r="E42" s="12"/>
      <c r="F42" s="12"/>
      <c r="G42" s="12"/>
      <c r="H42" s="12"/>
      <c r="I42" s="12"/>
    </row>
    <row r="43" spans="2:10" ht="24">
      <c r="B43" s="1"/>
      <c r="C43" s="1"/>
      <c r="D43" s="1"/>
      <c r="E43" s="1"/>
      <c r="F43" s="1"/>
      <c r="G43" s="12"/>
      <c r="H43" s="1"/>
      <c r="I43" s="12"/>
    </row>
    <row r="44" spans="2:10" ht="24">
      <c r="B44" s="12"/>
      <c r="C44" s="12"/>
      <c r="D44" s="12"/>
      <c r="E44" s="12"/>
      <c r="F44" s="12"/>
      <c r="G44" s="12"/>
      <c r="H44" s="12"/>
      <c r="I44" s="41"/>
    </row>
    <row r="45" spans="2:10" ht="24">
      <c r="B45" s="12"/>
      <c r="C45" s="12"/>
      <c r="D45" s="12"/>
      <c r="E45" s="12"/>
      <c r="F45" s="39"/>
      <c r="G45" s="39"/>
      <c r="H45" s="40"/>
      <c r="I45" s="39"/>
    </row>
  </sheetData>
  <mergeCells count="9">
    <mergeCell ref="E27:H27"/>
    <mergeCell ref="E29:H29"/>
    <mergeCell ref="I2:J2"/>
    <mergeCell ref="B6:D6"/>
    <mergeCell ref="G15:G16"/>
    <mergeCell ref="H16:J16"/>
    <mergeCell ref="H17:J17"/>
    <mergeCell ref="B22:I23"/>
    <mergeCell ref="E28:H28"/>
  </mergeCells>
  <phoneticPr fontId="7"/>
  <dataValidations count="1">
    <dataValidation allowBlank="1" showInputMessage="1" showErrorMessage="1" sqref="H2" xr:uid="{BE13BCBB-5115-D947-AD36-6197A97C450E}"/>
  </dataValidations>
  <pageMargins left="0.7" right="0.7" top="0.75" bottom="0.75" header="0.3" footer="0.3"/>
  <pageSetup paperSize="9" scale="77"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A3D5C-1D65-C842-BAC1-77221D39D7FB}">
  <sheetPr>
    <tabColor theme="4"/>
    <pageSetUpPr fitToPage="1"/>
  </sheetPr>
  <dimension ref="B1:M45"/>
  <sheetViews>
    <sheetView topLeftCell="A8" zoomScaleNormal="100" workbookViewId="0">
      <selection activeCell="L33" sqref="L33"/>
    </sheetView>
  </sheetViews>
  <sheetFormatPr baseColWidth="10" defaultColWidth="8.83203125" defaultRowHeight="18"/>
  <cols>
    <col min="1" max="1" width="8.1640625" customWidth="1"/>
    <col min="2" max="2" width="4.33203125" customWidth="1"/>
    <col min="3" max="3" width="8.5" customWidth="1"/>
    <col min="4" max="4" width="17.1640625" customWidth="1"/>
    <col min="5" max="5" width="13.6640625" customWidth="1"/>
    <col min="6" max="6" width="17.1640625" customWidth="1"/>
    <col min="7" max="7" width="13.6640625" customWidth="1"/>
    <col min="8" max="8" width="17.1640625" customWidth="1"/>
    <col min="9" max="9" width="6.5" customWidth="1"/>
    <col min="10" max="10" width="6.6640625" customWidth="1"/>
    <col min="11" max="11" width="11.1640625" customWidth="1"/>
    <col min="12" max="12" width="6.6640625" customWidth="1"/>
    <col min="13" max="13" width="15.83203125" customWidth="1"/>
    <col min="14" max="14" width="17.6640625" customWidth="1"/>
    <col min="15" max="15" width="18.1640625" customWidth="1"/>
  </cols>
  <sheetData>
    <row r="1" spans="2:13">
      <c r="I1" s="10"/>
    </row>
    <row r="2" spans="2:13" ht="24">
      <c r="B2" s="1"/>
      <c r="G2" s="87"/>
      <c r="H2" s="88"/>
      <c r="I2" s="130"/>
      <c r="J2" s="130"/>
    </row>
    <row r="3" spans="2:13" ht="24" customHeight="1">
      <c r="B3" s="76"/>
      <c r="C3" s="76"/>
      <c r="D3" s="76"/>
      <c r="E3" s="76"/>
      <c r="G3" s="87"/>
      <c r="H3" s="88"/>
      <c r="I3" s="88"/>
    </row>
    <row r="4" spans="2:13" ht="18.75" customHeight="1">
      <c r="B4" s="76"/>
      <c r="C4" s="76"/>
      <c r="D4" s="76"/>
      <c r="E4" s="76"/>
    </row>
    <row r="5" spans="2:13" ht="24">
      <c r="B5" s="33"/>
      <c r="C5" s="33"/>
      <c r="D5" s="33"/>
    </row>
    <row r="6" spans="2:13" ht="45">
      <c r="B6" s="131"/>
      <c r="C6" s="131"/>
      <c r="D6" s="131"/>
      <c r="E6" s="1"/>
      <c r="F6" s="86" t="s">
        <v>137</v>
      </c>
    </row>
    <row r="7" spans="2:13" ht="24">
      <c r="B7" s="1" t="s">
        <v>20</v>
      </c>
      <c r="C7" s="12"/>
      <c r="D7" s="90">
        <v>1000006104</v>
      </c>
      <c r="E7" s="13"/>
    </row>
    <row r="8" spans="2:13" ht="24">
      <c r="B8" s="12" t="s">
        <v>21</v>
      </c>
      <c r="C8" s="12"/>
      <c r="D8" s="12" t="str">
        <f>受給者情報!G18</f>
        <v>端慶山愛梨</v>
      </c>
      <c r="E8" t="s">
        <v>41</v>
      </c>
    </row>
    <row r="12" spans="2:13" ht="31">
      <c r="E12" s="52" t="s">
        <v>22</v>
      </c>
      <c r="F12" s="52"/>
      <c r="G12" s="52"/>
    </row>
    <row r="13" spans="2:13" ht="24">
      <c r="I13" s="14"/>
      <c r="M13" s="37"/>
    </row>
    <row r="14" spans="2:13">
      <c r="M14" s="37"/>
    </row>
    <row r="15" spans="2:13" ht="24" customHeight="1">
      <c r="G15" s="132" t="s">
        <v>23</v>
      </c>
      <c r="H15" s="49" t="s">
        <v>24</v>
      </c>
      <c r="I15" s="49"/>
      <c r="M15" s="37"/>
    </row>
    <row r="16" spans="2:13" ht="24" customHeight="1">
      <c r="G16" s="132"/>
      <c r="H16" s="133" t="s">
        <v>25</v>
      </c>
      <c r="I16" s="133"/>
      <c r="J16" s="133"/>
      <c r="M16" s="37"/>
    </row>
    <row r="17" spans="2:13" ht="40.5" customHeight="1">
      <c r="G17" s="50"/>
      <c r="H17" s="133" t="s">
        <v>27</v>
      </c>
      <c r="I17" s="133"/>
      <c r="J17" s="133"/>
      <c r="M17" s="37"/>
    </row>
    <row r="18" spans="2:13">
      <c r="G18" s="51" t="s">
        <v>28</v>
      </c>
      <c r="H18" s="51" t="str">
        <f>事業者情報!C5&amp;"　"&amp;事業者情報!C6</f>
        <v>代表取締役社長　澤田昌志</v>
      </c>
      <c r="M18" s="37"/>
    </row>
    <row r="19" spans="2:13">
      <c r="G19" s="51" t="s">
        <v>29</v>
      </c>
      <c r="H19" s="51" t="str">
        <f>事業者情報!C7&amp;""</f>
        <v>0566-63-6817</v>
      </c>
      <c r="M19" s="37"/>
    </row>
    <row r="20" spans="2:13">
      <c r="G20" s="51" t="s">
        <v>30</v>
      </c>
      <c r="H20" s="51" t="str">
        <f>事業者情報!C8&amp;""</f>
        <v>0566-63-6818</v>
      </c>
      <c r="M20" s="37"/>
    </row>
    <row r="21" spans="2:13">
      <c r="M21" s="37"/>
    </row>
    <row r="22" spans="2:13" ht="24" customHeight="1">
      <c r="B22" s="134" t="s">
        <v>135</v>
      </c>
      <c r="C22" s="134"/>
      <c r="D22" s="134"/>
      <c r="E22" s="134"/>
      <c r="F22" s="134"/>
      <c r="G22" s="134"/>
      <c r="H22" s="134"/>
      <c r="I22" s="134"/>
      <c r="M22" s="37"/>
    </row>
    <row r="23" spans="2:13" ht="24" customHeight="1">
      <c r="B23" s="134"/>
      <c r="C23" s="134"/>
      <c r="D23" s="134"/>
      <c r="E23" s="134"/>
      <c r="F23" s="134"/>
      <c r="G23" s="134"/>
      <c r="H23" s="134"/>
      <c r="I23" s="134"/>
      <c r="M23" s="37"/>
    </row>
    <row r="25" spans="2:13" ht="27">
      <c r="C25" s="98">
        <v>10</v>
      </c>
      <c r="D25" s="98" t="s">
        <v>173</v>
      </c>
      <c r="E25" s="71" t="s">
        <v>32</v>
      </c>
      <c r="F25" s="72">
        <f>H34</f>
        <v>0</v>
      </c>
      <c r="G25" s="16" t="s">
        <v>33</v>
      </c>
    </row>
    <row r="27" spans="2:13" ht="24.75" customHeight="1">
      <c r="B27" s="55"/>
      <c r="C27" s="56"/>
      <c r="D27" s="64" t="s">
        <v>42</v>
      </c>
      <c r="E27" s="136" t="s">
        <v>155</v>
      </c>
      <c r="F27" s="124"/>
      <c r="G27" s="124"/>
      <c r="H27" s="125"/>
      <c r="I27" s="12"/>
    </row>
    <row r="28" spans="2:13" ht="24.75" customHeight="1">
      <c r="B28" s="55"/>
      <c r="C28" s="56"/>
      <c r="D28" s="60" t="s">
        <v>139</v>
      </c>
      <c r="E28" s="135" t="s">
        <v>104</v>
      </c>
      <c r="F28" s="124"/>
      <c r="G28" s="124"/>
      <c r="H28" s="125"/>
      <c r="I28" s="12"/>
    </row>
    <row r="29" spans="2:13" ht="24.75" customHeight="1">
      <c r="B29" s="57"/>
      <c r="C29" s="56"/>
      <c r="D29" s="60" t="s">
        <v>43</v>
      </c>
      <c r="E29" s="126">
        <v>46010</v>
      </c>
      <c r="F29" s="124"/>
      <c r="G29" s="124"/>
      <c r="H29" s="125"/>
      <c r="I29" s="53"/>
    </row>
    <row r="30" spans="2:13" ht="24.75" customHeight="1">
      <c r="B30" s="57"/>
      <c r="C30" s="56"/>
      <c r="D30" s="65" t="s">
        <v>44</v>
      </c>
      <c r="E30" s="61"/>
      <c r="F30" s="67"/>
      <c r="G30" s="45"/>
      <c r="H30" s="46"/>
      <c r="I30" s="73" t="s">
        <v>45</v>
      </c>
    </row>
    <row r="31" spans="2:13" ht="24.75" customHeight="1">
      <c r="B31" s="57"/>
      <c r="C31" s="56"/>
      <c r="D31" s="62" t="s">
        <v>46</v>
      </c>
      <c r="E31" s="68" t="s">
        <v>35</v>
      </c>
      <c r="F31" s="67"/>
      <c r="G31" s="45"/>
      <c r="H31" s="44">
        <f>H30</f>
        <v>0</v>
      </c>
      <c r="I31" s="74" t="s">
        <v>40</v>
      </c>
    </row>
    <row r="32" spans="2:13" ht="24.75" customHeight="1">
      <c r="B32" s="57"/>
      <c r="C32" s="56"/>
      <c r="D32" s="62"/>
      <c r="E32" s="68" t="s">
        <v>36</v>
      </c>
      <c r="F32" s="67"/>
      <c r="G32" s="45"/>
      <c r="H32" s="45">
        <v>0</v>
      </c>
      <c r="I32" s="74" t="s">
        <v>40</v>
      </c>
    </row>
    <row r="33" spans="2:10" ht="24.75" customHeight="1">
      <c r="B33" s="57"/>
      <c r="C33" s="56"/>
      <c r="D33" s="62"/>
      <c r="E33" s="66" t="s">
        <v>37</v>
      </c>
      <c r="F33" s="69"/>
      <c r="G33" s="43"/>
      <c r="H33" s="59"/>
      <c r="I33" s="74" t="s">
        <v>40</v>
      </c>
    </row>
    <row r="34" spans="2:10" ht="24">
      <c r="B34" s="57"/>
      <c r="C34" s="56"/>
      <c r="D34" s="42"/>
      <c r="E34" s="38"/>
      <c r="F34" s="38"/>
      <c r="G34" s="63" t="s">
        <v>47</v>
      </c>
      <c r="H34" s="70">
        <f>SUM(H31-H32+H33)</f>
        <v>0</v>
      </c>
      <c r="I34" s="74" t="s">
        <v>40</v>
      </c>
    </row>
    <row r="35" spans="2:10" ht="24">
      <c r="B35" s="57"/>
      <c r="C35" s="56"/>
      <c r="D35" s="12"/>
      <c r="E35" s="12"/>
      <c r="F35" s="12"/>
      <c r="G35" s="12"/>
      <c r="H35" s="12"/>
      <c r="I35" s="53"/>
    </row>
    <row r="36" spans="2:10" ht="24">
      <c r="B36" s="57"/>
      <c r="C36" s="56"/>
      <c r="D36" s="12"/>
      <c r="E36" s="12"/>
      <c r="F36" s="12"/>
      <c r="G36" s="12"/>
      <c r="H36" s="12"/>
      <c r="I36" s="12"/>
    </row>
    <row r="37" spans="2:10" ht="24">
      <c r="B37" s="57"/>
      <c r="C37" s="56"/>
      <c r="D37" s="12"/>
      <c r="E37" s="12"/>
      <c r="F37" s="12"/>
      <c r="G37" s="12"/>
      <c r="H37" s="12"/>
      <c r="I37" s="12"/>
    </row>
    <row r="38" spans="2:10" ht="24">
      <c r="B38" s="57"/>
      <c r="C38" s="56"/>
      <c r="D38" s="12"/>
      <c r="E38" s="12"/>
      <c r="F38" s="12"/>
      <c r="G38" s="12"/>
      <c r="H38" s="12"/>
      <c r="I38" s="54"/>
    </row>
    <row r="39" spans="2:10" s="11" customFormat="1" ht="20.25" customHeight="1">
      <c r="B39" s="57"/>
      <c r="C39" s="58"/>
      <c r="D39" s="12"/>
      <c r="E39" s="12"/>
      <c r="F39" s="12"/>
      <c r="G39" s="12"/>
      <c r="H39" s="12"/>
      <c r="I39" s="12"/>
      <c r="J39" s="18"/>
    </row>
    <row r="40" spans="2:10" s="11" customFormat="1" ht="20.25" customHeight="1">
      <c r="B40" s="57"/>
      <c r="C40" s="58"/>
      <c r="D40" s="12"/>
      <c r="E40" s="12"/>
      <c r="F40" s="12"/>
      <c r="G40" s="12"/>
      <c r="H40" s="12"/>
      <c r="I40" s="12"/>
    </row>
    <row r="41" spans="2:10" s="11" customFormat="1" ht="20.25" customHeight="1">
      <c r="B41" s="57"/>
      <c r="C41" s="58"/>
      <c r="D41" s="12"/>
      <c r="E41" s="12"/>
      <c r="F41" s="12"/>
      <c r="G41" s="12"/>
      <c r="H41" s="12"/>
      <c r="I41" s="12"/>
    </row>
    <row r="42" spans="2:10" s="11" customFormat="1" ht="20.25" customHeight="1">
      <c r="B42" s="57"/>
      <c r="C42" s="58"/>
      <c r="D42" s="12"/>
      <c r="E42" s="12"/>
      <c r="F42" s="12"/>
      <c r="G42" s="12"/>
      <c r="H42" s="12"/>
      <c r="I42" s="12"/>
    </row>
    <row r="43" spans="2:10" ht="24">
      <c r="B43" s="1"/>
      <c r="C43" s="1"/>
      <c r="D43" s="1"/>
      <c r="E43" s="1"/>
      <c r="F43" s="1"/>
      <c r="G43" s="12"/>
      <c r="H43" s="1"/>
      <c r="I43" s="12"/>
    </row>
    <row r="44" spans="2:10" ht="24">
      <c r="B44" s="12"/>
      <c r="C44" s="12"/>
      <c r="D44" s="12"/>
      <c r="E44" s="12"/>
      <c r="F44" s="12"/>
      <c r="G44" s="12"/>
      <c r="H44" s="12"/>
      <c r="I44" s="41"/>
    </row>
    <row r="45" spans="2:10" ht="24">
      <c r="B45" s="12"/>
      <c r="C45" s="12"/>
      <c r="D45" s="12"/>
      <c r="E45" s="12"/>
      <c r="F45" s="39"/>
      <c r="G45" s="39"/>
      <c r="H45" s="40"/>
      <c r="I45" s="39"/>
    </row>
  </sheetData>
  <mergeCells count="9">
    <mergeCell ref="E27:H27"/>
    <mergeCell ref="E29:H29"/>
    <mergeCell ref="E28:H28"/>
    <mergeCell ref="I2:J2"/>
    <mergeCell ref="B6:D6"/>
    <mergeCell ref="G15:G16"/>
    <mergeCell ref="H16:J16"/>
    <mergeCell ref="H17:J17"/>
    <mergeCell ref="B22:I23"/>
  </mergeCells>
  <phoneticPr fontId="7"/>
  <dataValidations count="1">
    <dataValidation allowBlank="1" showInputMessage="1" showErrorMessage="1" sqref="H2" xr:uid="{E5B7C2A8-2DE4-5440-8098-6B81E7C9C8E9}"/>
  </dataValidations>
  <pageMargins left="0.7" right="0.7" top="0.75" bottom="0.75" header="0.3" footer="0.3"/>
  <pageSetup paperSize="9" scale="77"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D83BB-BB42-644D-990A-566FC9BA2F66}">
  <sheetPr>
    <tabColor theme="4"/>
    <pageSetUpPr fitToPage="1"/>
  </sheetPr>
  <dimension ref="B1:M45"/>
  <sheetViews>
    <sheetView topLeftCell="A11" zoomScaleNormal="100" workbookViewId="0">
      <selection activeCell="L33" sqref="L33"/>
    </sheetView>
  </sheetViews>
  <sheetFormatPr baseColWidth="10" defaultColWidth="8.83203125" defaultRowHeight="18"/>
  <cols>
    <col min="1" max="1" width="8.1640625" customWidth="1"/>
    <col min="2" max="2" width="4.33203125" customWidth="1"/>
    <col min="3" max="3" width="8.5" customWidth="1"/>
    <col min="4" max="4" width="17.1640625" customWidth="1"/>
    <col min="5" max="5" width="13.6640625" customWidth="1"/>
    <col min="6" max="6" width="17.1640625" customWidth="1"/>
    <col min="7" max="7" width="13.6640625" customWidth="1"/>
    <col min="8" max="8" width="17.1640625" customWidth="1"/>
    <col min="9" max="9" width="6.5" customWidth="1"/>
    <col min="10" max="10" width="6.6640625" customWidth="1"/>
    <col min="11" max="11" width="11.1640625" customWidth="1"/>
    <col min="12" max="12" width="6.6640625" customWidth="1"/>
    <col min="13" max="13" width="15.83203125" customWidth="1"/>
    <col min="14" max="14" width="17.6640625" customWidth="1"/>
    <col min="15" max="15" width="18.1640625" customWidth="1"/>
  </cols>
  <sheetData>
    <row r="1" spans="2:13">
      <c r="I1" s="10"/>
    </row>
    <row r="2" spans="2:13" ht="24">
      <c r="B2" s="1"/>
      <c r="G2" s="87"/>
      <c r="H2" s="88"/>
      <c r="I2" s="130"/>
      <c r="J2" s="130"/>
    </row>
    <row r="3" spans="2:13" ht="24" customHeight="1">
      <c r="B3" s="76"/>
      <c r="C3" s="76"/>
      <c r="D3" s="76"/>
      <c r="E3" s="76"/>
      <c r="G3" s="87"/>
      <c r="H3" s="88"/>
      <c r="I3" s="88"/>
    </row>
    <row r="4" spans="2:13" ht="18.75" customHeight="1">
      <c r="B4" s="76"/>
      <c r="C4" s="76"/>
      <c r="D4" s="76"/>
      <c r="E4" s="76"/>
    </row>
    <row r="5" spans="2:13" ht="24">
      <c r="B5" s="33"/>
      <c r="C5" s="33"/>
      <c r="D5" s="33"/>
    </row>
    <row r="6" spans="2:13" ht="45">
      <c r="B6" s="131"/>
      <c r="C6" s="131"/>
      <c r="D6" s="131"/>
      <c r="E6" s="1"/>
      <c r="F6" s="86" t="s">
        <v>137</v>
      </c>
    </row>
    <row r="7" spans="2:13" ht="24">
      <c r="B7" s="1" t="s">
        <v>20</v>
      </c>
      <c r="C7" s="12"/>
      <c r="D7" s="90">
        <v>3000016489</v>
      </c>
      <c r="E7" s="13"/>
    </row>
    <row r="8" spans="2:13" ht="24">
      <c r="B8" s="12" t="s">
        <v>21</v>
      </c>
      <c r="C8" s="12"/>
      <c r="D8" s="12" t="str">
        <f>受給者情報!G19</f>
        <v>栗木健治</v>
      </c>
      <c r="E8" t="s">
        <v>41</v>
      </c>
    </row>
    <row r="12" spans="2:13" ht="31">
      <c r="E12" s="52" t="s">
        <v>22</v>
      </c>
      <c r="F12" s="52"/>
      <c r="G12" s="52"/>
    </row>
    <row r="13" spans="2:13" ht="24">
      <c r="I13" s="14"/>
      <c r="M13" s="37"/>
    </row>
    <row r="14" spans="2:13">
      <c r="M14" s="37"/>
    </row>
    <row r="15" spans="2:13" ht="24" customHeight="1">
      <c r="G15" s="132" t="s">
        <v>23</v>
      </c>
      <c r="H15" s="49" t="s">
        <v>24</v>
      </c>
      <c r="I15" s="49"/>
      <c r="M15" s="37"/>
    </row>
    <row r="16" spans="2:13" ht="24" customHeight="1">
      <c r="G16" s="132"/>
      <c r="H16" s="133" t="s">
        <v>25</v>
      </c>
      <c r="I16" s="133"/>
      <c r="J16" s="133"/>
      <c r="M16" s="37"/>
    </row>
    <row r="17" spans="2:13" ht="40.5" customHeight="1">
      <c r="G17" s="50"/>
      <c r="H17" s="133" t="s">
        <v>27</v>
      </c>
      <c r="I17" s="133"/>
      <c r="J17" s="133"/>
      <c r="M17" s="37"/>
    </row>
    <row r="18" spans="2:13">
      <c r="G18" s="51" t="s">
        <v>28</v>
      </c>
      <c r="H18" s="51" t="str">
        <f>事業者情報!C5&amp;"　"&amp;事業者情報!C6</f>
        <v>代表取締役社長　澤田昌志</v>
      </c>
      <c r="M18" s="37"/>
    </row>
    <row r="19" spans="2:13">
      <c r="G19" s="51" t="s">
        <v>29</v>
      </c>
      <c r="H19" s="51" t="str">
        <f>事業者情報!C7&amp;""</f>
        <v>0566-63-6817</v>
      </c>
      <c r="M19" s="37"/>
    </row>
    <row r="20" spans="2:13">
      <c r="G20" s="51" t="s">
        <v>30</v>
      </c>
      <c r="H20" s="51" t="str">
        <f>事業者情報!C8&amp;""</f>
        <v>0566-63-6818</v>
      </c>
      <c r="M20" s="37"/>
    </row>
    <row r="21" spans="2:13">
      <c r="M21" s="37"/>
    </row>
    <row r="22" spans="2:13" ht="24" customHeight="1">
      <c r="B22" s="134" t="s">
        <v>135</v>
      </c>
      <c r="C22" s="134"/>
      <c r="D22" s="134"/>
      <c r="E22" s="134"/>
      <c r="F22" s="134"/>
      <c r="G22" s="134"/>
      <c r="H22" s="134"/>
      <c r="I22" s="134"/>
      <c r="M22" s="37"/>
    </row>
    <row r="23" spans="2:13" ht="24" customHeight="1">
      <c r="B23" s="134"/>
      <c r="C23" s="134"/>
      <c r="D23" s="134"/>
      <c r="E23" s="134"/>
      <c r="F23" s="134"/>
      <c r="G23" s="134"/>
      <c r="H23" s="134"/>
      <c r="I23" s="134"/>
      <c r="M23" s="37"/>
    </row>
    <row r="25" spans="2:13" ht="27">
      <c r="C25" s="98">
        <v>10</v>
      </c>
      <c r="D25" s="98" t="s">
        <v>173</v>
      </c>
      <c r="E25" s="71" t="s">
        <v>32</v>
      </c>
      <c r="F25" s="72">
        <f>H34</f>
        <v>0</v>
      </c>
      <c r="G25" s="16" t="s">
        <v>33</v>
      </c>
    </row>
    <row r="27" spans="2:13" ht="24.75" customHeight="1">
      <c r="B27" s="55"/>
      <c r="C27" s="56"/>
      <c r="D27" s="64" t="s">
        <v>42</v>
      </c>
      <c r="E27" s="136" t="s">
        <v>133</v>
      </c>
      <c r="F27" s="124"/>
      <c r="G27" s="124"/>
      <c r="H27" s="125"/>
      <c r="I27" s="12"/>
    </row>
    <row r="28" spans="2:13" ht="24.75" customHeight="1">
      <c r="B28" s="55"/>
      <c r="C28" s="56"/>
      <c r="D28" s="60" t="s">
        <v>139</v>
      </c>
      <c r="E28" s="135" t="s">
        <v>104</v>
      </c>
      <c r="F28" s="124"/>
      <c r="G28" s="124"/>
      <c r="H28" s="125"/>
      <c r="I28" s="12"/>
    </row>
    <row r="29" spans="2:13" ht="24.75" customHeight="1">
      <c r="B29" s="57"/>
      <c r="C29" s="56"/>
      <c r="D29" s="60" t="s">
        <v>43</v>
      </c>
      <c r="E29" s="126">
        <v>46010</v>
      </c>
      <c r="F29" s="124"/>
      <c r="G29" s="124"/>
      <c r="H29" s="125"/>
      <c r="I29" s="53"/>
    </row>
    <row r="30" spans="2:13" ht="24.75" customHeight="1">
      <c r="B30" s="57"/>
      <c r="C30" s="56"/>
      <c r="D30" s="65" t="s">
        <v>44</v>
      </c>
      <c r="E30" s="61"/>
      <c r="F30" s="67"/>
      <c r="G30" s="45"/>
      <c r="H30" s="46"/>
      <c r="I30" s="73" t="s">
        <v>45</v>
      </c>
    </row>
    <row r="31" spans="2:13" ht="24.75" customHeight="1">
      <c r="B31" s="57"/>
      <c r="C31" s="56"/>
      <c r="D31" s="62" t="s">
        <v>46</v>
      </c>
      <c r="E31" s="68" t="s">
        <v>35</v>
      </c>
      <c r="F31" s="67"/>
      <c r="G31" s="45"/>
      <c r="H31" s="44">
        <f>H30</f>
        <v>0</v>
      </c>
      <c r="I31" s="74" t="s">
        <v>40</v>
      </c>
    </row>
    <row r="32" spans="2:13" ht="24.75" customHeight="1">
      <c r="B32" s="57"/>
      <c r="C32" s="56"/>
      <c r="D32" s="62"/>
      <c r="E32" s="68" t="s">
        <v>36</v>
      </c>
      <c r="F32" s="67"/>
      <c r="G32" s="45"/>
      <c r="H32" s="45">
        <v>0</v>
      </c>
      <c r="I32" s="74" t="s">
        <v>40</v>
      </c>
    </row>
    <row r="33" spans="2:10" ht="24.75" customHeight="1">
      <c r="B33" s="57"/>
      <c r="C33" s="56"/>
      <c r="D33" s="62"/>
      <c r="E33" s="66" t="s">
        <v>37</v>
      </c>
      <c r="F33" s="69"/>
      <c r="G33" s="43"/>
      <c r="H33" s="59"/>
      <c r="I33" s="74" t="s">
        <v>40</v>
      </c>
    </row>
    <row r="34" spans="2:10" ht="24">
      <c r="B34" s="57"/>
      <c r="C34" s="56"/>
      <c r="D34" s="42"/>
      <c r="E34" s="38"/>
      <c r="F34" s="38"/>
      <c r="G34" s="63" t="s">
        <v>47</v>
      </c>
      <c r="H34" s="70">
        <f>SUM(H31-H32+H33)</f>
        <v>0</v>
      </c>
      <c r="I34" s="74" t="s">
        <v>40</v>
      </c>
    </row>
    <row r="35" spans="2:10" ht="24">
      <c r="B35" s="57"/>
      <c r="C35" s="56"/>
      <c r="D35" s="12"/>
      <c r="E35" s="12"/>
      <c r="F35" s="12"/>
      <c r="G35" s="12"/>
      <c r="H35" s="12"/>
      <c r="I35" s="53"/>
    </row>
    <row r="36" spans="2:10" ht="24">
      <c r="B36" s="57"/>
      <c r="C36" s="56"/>
      <c r="D36" s="12"/>
      <c r="E36" s="12"/>
      <c r="F36" s="12"/>
      <c r="G36" s="12"/>
      <c r="H36" s="12"/>
      <c r="I36" s="12"/>
    </row>
    <row r="37" spans="2:10" ht="24">
      <c r="B37" s="57"/>
      <c r="C37" s="56"/>
      <c r="D37" s="12"/>
      <c r="E37" s="12"/>
      <c r="F37" s="12"/>
      <c r="G37" s="12"/>
      <c r="H37" s="12"/>
      <c r="I37" s="12"/>
    </row>
    <row r="38" spans="2:10" ht="24">
      <c r="B38" s="57"/>
      <c r="C38" s="56"/>
      <c r="D38" s="12"/>
      <c r="E38" s="12"/>
      <c r="F38" s="12"/>
      <c r="G38" s="12"/>
      <c r="H38" s="12"/>
      <c r="I38" s="54"/>
    </row>
    <row r="39" spans="2:10" s="11" customFormat="1" ht="20.25" customHeight="1">
      <c r="B39" s="57"/>
      <c r="C39" s="58"/>
      <c r="D39" s="12"/>
      <c r="E39" s="12"/>
      <c r="F39" s="12"/>
      <c r="G39" s="12"/>
      <c r="H39" s="12"/>
      <c r="I39" s="12"/>
      <c r="J39" s="18"/>
    </row>
    <row r="40" spans="2:10" s="11" customFormat="1" ht="20.25" customHeight="1">
      <c r="B40" s="57"/>
      <c r="C40" s="58"/>
      <c r="D40" s="12"/>
      <c r="E40" s="12"/>
      <c r="F40" s="12"/>
      <c r="G40" s="12"/>
      <c r="H40" s="12"/>
      <c r="I40" s="12"/>
    </row>
    <row r="41" spans="2:10" s="11" customFormat="1" ht="20.25" customHeight="1">
      <c r="B41" s="57"/>
      <c r="C41" s="58"/>
      <c r="D41" s="12"/>
      <c r="E41" s="12"/>
      <c r="F41" s="12"/>
      <c r="G41" s="12"/>
      <c r="H41" s="12"/>
      <c r="I41" s="12"/>
    </row>
    <row r="42" spans="2:10" s="11" customFormat="1" ht="20.25" customHeight="1">
      <c r="B42" s="57"/>
      <c r="C42" s="58"/>
      <c r="D42" s="12"/>
      <c r="E42" s="12"/>
      <c r="F42" s="12"/>
      <c r="G42" s="12"/>
      <c r="H42" s="12"/>
      <c r="I42" s="12"/>
    </row>
    <row r="43" spans="2:10" ht="24">
      <c r="B43" s="1"/>
      <c r="C43" s="1"/>
      <c r="D43" s="1"/>
      <c r="E43" s="1"/>
      <c r="F43" s="1"/>
      <c r="G43" s="12"/>
      <c r="H43" s="1"/>
      <c r="I43" s="12"/>
    </row>
    <row r="44" spans="2:10" ht="24">
      <c r="B44" s="12"/>
      <c r="C44" s="12"/>
      <c r="D44" s="12"/>
      <c r="E44" s="12"/>
      <c r="F44" s="12"/>
      <c r="G44" s="12"/>
      <c r="H44" s="12"/>
      <c r="I44" s="41"/>
    </row>
    <row r="45" spans="2:10" ht="24">
      <c r="B45" s="12"/>
      <c r="C45" s="12"/>
      <c r="D45" s="12"/>
      <c r="E45" s="12"/>
      <c r="F45" s="39"/>
      <c r="G45" s="39"/>
      <c r="H45" s="40"/>
      <c r="I45" s="39"/>
    </row>
  </sheetData>
  <mergeCells count="9">
    <mergeCell ref="E27:H27"/>
    <mergeCell ref="E29:H29"/>
    <mergeCell ref="E28:H28"/>
    <mergeCell ref="I2:J2"/>
    <mergeCell ref="B6:D6"/>
    <mergeCell ref="G15:G16"/>
    <mergeCell ref="H16:J16"/>
    <mergeCell ref="H17:J17"/>
    <mergeCell ref="B22:I23"/>
  </mergeCells>
  <phoneticPr fontId="7"/>
  <dataValidations count="1">
    <dataValidation allowBlank="1" showInputMessage="1" showErrorMessage="1" sqref="H2" xr:uid="{2E8EA3F8-A02D-3144-9F0C-80230EE780B2}"/>
  </dataValidations>
  <pageMargins left="0.7" right="0.7" top="0.75" bottom="0.75" header="0.3" footer="0.3"/>
  <pageSetup paperSize="9" scale="77"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BEA3D-5D4D-474D-82CD-3ADA4CDCE7D0}">
  <sheetPr>
    <tabColor theme="4"/>
    <pageSetUpPr fitToPage="1"/>
  </sheetPr>
  <dimension ref="B1:M45"/>
  <sheetViews>
    <sheetView topLeftCell="A12" zoomScaleNormal="100" workbookViewId="0">
      <selection activeCell="L33" sqref="L33"/>
    </sheetView>
  </sheetViews>
  <sheetFormatPr baseColWidth="10" defaultColWidth="8.83203125" defaultRowHeight="18"/>
  <cols>
    <col min="1" max="1" width="8.1640625" customWidth="1"/>
    <col min="2" max="2" width="4.33203125" customWidth="1"/>
    <col min="3" max="3" width="8.5" customWidth="1"/>
    <col min="4" max="4" width="17.1640625" customWidth="1"/>
    <col min="5" max="5" width="13.6640625" customWidth="1"/>
    <col min="6" max="6" width="17.1640625" customWidth="1"/>
    <col min="7" max="7" width="13.6640625" customWidth="1"/>
    <col min="8" max="8" width="17.1640625" customWidth="1"/>
    <col min="9" max="9" width="6.5" customWidth="1"/>
    <col min="10" max="10" width="6.6640625" customWidth="1"/>
    <col min="11" max="11" width="11.1640625" customWidth="1"/>
    <col min="12" max="12" width="6.6640625" customWidth="1"/>
    <col min="13" max="13" width="15.83203125" customWidth="1"/>
    <col min="14" max="14" width="17.6640625" customWidth="1"/>
    <col min="15" max="15" width="18.1640625" customWidth="1"/>
  </cols>
  <sheetData>
    <row r="1" spans="2:13">
      <c r="I1" s="10"/>
    </row>
    <row r="2" spans="2:13" ht="24">
      <c r="B2" s="1"/>
      <c r="G2" s="87"/>
      <c r="H2" s="88"/>
      <c r="I2" s="130"/>
      <c r="J2" s="130"/>
    </row>
    <row r="3" spans="2:13" ht="24" customHeight="1">
      <c r="B3" s="76"/>
      <c r="C3" s="76"/>
      <c r="D3" s="76"/>
      <c r="E3" s="76"/>
      <c r="G3" s="87"/>
      <c r="H3" s="88"/>
      <c r="I3" s="88"/>
    </row>
    <row r="4" spans="2:13" ht="18.75" customHeight="1">
      <c r="B4" s="76"/>
      <c r="C4" s="76"/>
      <c r="D4" s="76"/>
      <c r="E4" s="76"/>
    </row>
    <row r="5" spans="2:13" ht="24">
      <c r="B5" s="33"/>
      <c r="C5" s="33"/>
      <c r="D5" s="33"/>
    </row>
    <row r="6" spans="2:13" ht="45">
      <c r="B6" s="131"/>
      <c r="C6" s="131"/>
      <c r="D6" s="131"/>
      <c r="E6" s="1"/>
      <c r="F6" s="86" t="s">
        <v>137</v>
      </c>
    </row>
    <row r="7" spans="2:13" ht="24">
      <c r="B7" s="1" t="s">
        <v>20</v>
      </c>
      <c r="C7" s="12"/>
      <c r="D7" s="90">
        <v>3000015572</v>
      </c>
      <c r="E7" s="13"/>
    </row>
    <row r="8" spans="2:13" ht="24">
      <c r="B8" s="12" t="s">
        <v>21</v>
      </c>
      <c r="C8" s="12"/>
      <c r="D8" s="12" t="str">
        <f>受給者情報!G20</f>
        <v>井野真由美</v>
      </c>
      <c r="E8" t="s">
        <v>41</v>
      </c>
    </row>
    <row r="12" spans="2:13" ht="31">
      <c r="E12" s="52" t="s">
        <v>22</v>
      </c>
      <c r="F12" s="52"/>
      <c r="G12" s="52"/>
    </row>
    <row r="13" spans="2:13" ht="24">
      <c r="I13" s="14"/>
      <c r="M13" s="37"/>
    </row>
    <row r="14" spans="2:13">
      <c r="M14" s="37"/>
    </row>
    <row r="15" spans="2:13" ht="24" customHeight="1">
      <c r="G15" s="132" t="s">
        <v>23</v>
      </c>
      <c r="H15" s="49" t="s">
        <v>24</v>
      </c>
      <c r="I15" s="49"/>
      <c r="M15" s="37"/>
    </row>
    <row r="16" spans="2:13" ht="24" customHeight="1">
      <c r="G16" s="132"/>
      <c r="H16" s="133" t="s">
        <v>25</v>
      </c>
      <c r="I16" s="133"/>
      <c r="J16" s="133"/>
      <c r="M16" s="37"/>
    </row>
    <row r="17" spans="2:13" ht="40.5" customHeight="1">
      <c r="G17" s="50"/>
      <c r="H17" s="133" t="s">
        <v>27</v>
      </c>
      <c r="I17" s="133"/>
      <c r="J17" s="133"/>
      <c r="M17" s="37"/>
    </row>
    <row r="18" spans="2:13">
      <c r="G18" s="51" t="s">
        <v>28</v>
      </c>
      <c r="H18" s="51" t="str">
        <f>事業者情報!C5&amp;"　"&amp;事業者情報!C6</f>
        <v>代表取締役社長　澤田昌志</v>
      </c>
      <c r="M18" s="37"/>
    </row>
    <row r="19" spans="2:13">
      <c r="G19" s="51" t="s">
        <v>29</v>
      </c>
      <c r="H19" s="51" t="str">
        <f>事業者情報!C7&amp;""</f>
        <v>0566-63-6817</v>
      </c>
      <c r="M19" s="37"/>
    </row>
    <row r="20" spans="2:13">
      <c r="G20" s="51" t="s">
        <v>30</v>
      </c>
      <c r="H20" s="51" t="str">
        <f>事業者情報!C8&amp;""</f>
        <v>0566-63-6818</v>
      </c>
      <c r="M20" s="37"/>
    </row>
    <row r="21" spans="2:13">
      <c r="M21" s="37"/>
    </row>
    <row r="22" spans="2:13" ht="24" customHeight="1">
      <c r="B22" s="134" t="s">
        <v>135</v>
      </c>
      <c r="C22" s="134"/>
      <c r="D22" s="134"/>
      <c r="E22" s="134"/>
      <c r="F22" s="134"/>
      <c r="G22" s="134"/>
      <c r="H22" s="134"/>
      <c r="I22" s="134"/>
      <c r="M22" s="37"/>
    </row>
    <row r="23" spans="2:13" ht="24" customHeight="1">
      <c r="B23" s="134"/>
      <c r="C23" s="134"/>
      <c r="D23" s="134"/>
      <c r="E23" s="134"/>
      <c r="F23" s="134"/>
      <c r="G23" s="134"/>
      <c r="H23" s="134"/>
      <c r="I23" s="134"/>
      <c r="M23" s="37"/>
    </row>
    <row r="25" spans="2:13" ht="27">
      <c r="C25" s="98">
        <v>10</v>
      </c>
      <c r="D25" s="98" t="s">
        <v>173</v>
      </c>
      <c r="E25" s="71" t="s">
        <v>32</v>
      </c>
      <c r="F25" s="72">
        <f>H34</f>
        <v>0</v>
      </c>
      <c r="G25" s="16" t="s">
        <v>33</v>
      </c>
    </row>
    <row r="27" spans="2:13" ht="24.75" customHeight="1">
      <c r="B27" s="55"/>
      <c r="C27" s="56"/>
      <c r="D27" s="64" t="s">
        <v>42</v>
      </c>
      <c r="E27" s="136" t="s">
        <v>133</v>
      </c>
      <c r="F27" s="124"/>
      <c r="G27" s="124"/>
      <c r="H27" s="125"/>
      <c r="I27" s="12"/>
    </row>
    <row r="28" spans="2:13" ht="24.75" customHeight="1">
      <c r="B28" s="55"/>
      <c r="C28" s="56"/>
      <c r="D28" s="60" t="s">
        <v>139</v>
      </c>
      <c r="E28" s="135" t="s">
        <v>104</v>
      </c>
      <c r="F28" s="124"/>
      <c r="G28" s="124"/>
      <c r="H28" s="125"/>
      <c r="I28" s="12"/>
    </row>
    <row r="29" spans="2:13" ht="24.75" customHeight="1">
      <c r="B29" s="57"/>
      <c r="C29" s="56"/>
      <c r="D29" s="60" t="s">
        <v>43</v>
      </c>
      <c r="E29" s="126">
        <v>46010</v>
      </c>
      <c r="F29" s="124"/>
      <c r="G29" s="124"/>
      <c r="H29" s="125"/>
      <c r="I29" s="53"/>
    </row>
    <row r="30" spans="2:13" ht="24.75" customHeight="1">
      <c r="B30" s="57"/>
      <c r="C30" s="56"/>
      <c r="D30" s="65" t="s">
        <v>44</v>
      </c>
      <c r="E30" s="61"/>
      <c r="F30" s="67"/>
      <c r="G30" s="45"/>
      <c r="H30" s="46"/>
      <c r="I30" s="73" t="s">
        <v>45</v>
      </c>
    </row>
    <row r="31" spans="2:13" ht="24.75" customHeight="1">
      <c r="B31" s="57"/>
      <c r="C31" s="56"/>
      <c r="D31" s="62" t="s">
        <v>46</v>
      </c>
      <c r="E31" s="68" t="s">
        <v>35</v>
      </c>
      <c r="F31" s="67"/>
      <c r="G31" s="45"/>
      <c r="H31" s="44">
        <f>H30</f>
        <v>0</v>
      </c>
      <c r="I31" s="74" t="s">
        <v>40</v>
      </c>
    </row>
    <row r="32" spans="2:13" ht="24.75" customHeight="1">
      <c r="B32" s="57"/>
      <c r="C32" s="56"/>
      <c r="D32" s="62"/>
      <c r="E32" s="68" t="s">
        <v>36</v>
      </c>
      <c r="F32" s="67"/>
      <c r="G32" s="45"/>
      <c r="H32" s="45">
        <v>0</v>
      </c>
      <c r="I32" s="74" t="s">
        <v>40</v>
      </c>
    </row>
    <row r="33" spans="2:10" ht="24.75" customHeight="1">
      <c r="B33" s="57"/>
      <c r="C33" s="56"/>
      <c r="D33" s="62"/>
      <c r="E33" s="66" t="s">
        <v>37</v>
      </c>
      <c r="F33" s="69"/>
      <c r="G33" s="43"/>
      <c r="H33" s="59"/>
      <c r="I33" s="74" t="s">
        <v>40</v>
      </c>
    </row>
    <row r="34" spans="2:10" ht="24">
      <c r="B34" s="57"/>
      <c r="C34" s="56"/>
      <c r="D34" s="42"/>
      <c r="E34" s="38"/>
      <c r="F34" s="38"/>
      <c r="G34" s="63" t="s">
        <v>47</v>
      </c>
      <c r="H34" s="70">
        <f>SUM(H31-H32+H33)</f>
        <v>0</v>
      </c>
      <c r="I34" s="74" t="s">
        <v>40</v>
      </c>
    </row>
    <row r="35" spans="2:10" ht="24">
      <c r="B35" s="57"/>
      <c r="C35" s="56"/>
      <c r="D35" s="12"/>
      <c r="E35" s="12"/>
      <c r="F35" s="12"/>
      <c r="G35" s="12"/>
      <c r="H35" s="12"/>
      <c r="I35" s="53"/>
    </row>
    <row r="36" spans="2:10" ht="24">
      <c r="B36" s="57"/>
      <c r="C36" s="56"/>
      <c r="D36" s="12"/>
      <c r="E36" s="12"/>
      <c r="F36" s="12"/>
      <c r="G36" s="12"/>
      <c r="H36" s="12"/>
      <c r="I36" s="12"/>
    </row>
    <row r="37" spans="2:10" ht="24">
      <c r="B37" s="57"/>
      <c r="C37" s="56"/>
      <c r="D37" s="12"/>
      <c r="E37" s="12"/>
      <c r="F37" s="12"/>
      <c r="G37" s="12"/>
      <c r="H37" s="12"/>
      <c r="I37" s="12"/>
    </row>
    <row r="38" spans="2:10" ht="24">
      <c r="B38" s="57"/>
      <c r="C38" s="56"/>
      <c r="D38" s="12"/>
      <c r="E38" s="12"/>
      <c r="F38" s="12"/>
      <c r="G38" s="12"/>
      <c r="H38" s="12"/>
      <c r="I38" s="54"/>
    </row>
    <row r="39" spans="2:10" s="11" customFormat="1" ht="20.25" customHeight="1">
      <c r="B39" s="57"/>
      <c r="C39" s="58"/>
      <c r="D39" s="12"/>
      <c r="E39" s="12"/>
      <c r="F39" s="12"/>
      <c r="G39" s="12"/>
      <c r="H39" s="12"/>
      <c r="I39" s="12"/>
      <c r="J39" s="18"/>
    </row>
    <row r="40" spans="2:10" s="11" customFormat="1" ht="20.25" customHeight="1">
      <c r="B40" s="57"/>
      <c r="C40" s="58"/>
      <c r="D40" s="12"/>
      <c r="E40" s="12"/>
      <c r="F40" s="12"/>
      <c r="G40" s="12"/>
      <c r="H40" s="12"/>
      <c r="I40" s="12"/>
    </row>
    <row r="41" spans="2:10" s="11" customFormat="1" ht="20.25" customHeight="1">
      <c r="B41" s="57"/>
      <c r="C41" s="58"/>
      <c r="D41" s="12"/>
      <c r="E41" s="12"/>
      <c r="F41" s="12"/>
      <c r="G41" s="12"/>
      <c r="H41" s="12"/>
      <c r="I41" s="12"/>
    </row>
    <row r="42" spans="2:10" s="11" customFormat="1" ht="20.25" customHeight="1">
      <c r="B42" s="57"/>
      <c r="C42" s="58"/>
      <c r="D42" s="12"/>
      <c r="E42" s="12"/>
      <c r="F42" s="12"/>
      <c r="G42" s="12"/>
      <c r="H42" s="12"/>
      <c r="I42" s="12"/>
    </row>
    <row r="43" spans="2:10" ht="24">
      <c r="B43" s="1"/>
      <c r="C43" s="1"/>
      <c r="D43" s="1"/>
      <c r="E43" s="1"/>
      <c r="F43" s="1"/>
      <c r="G43" s="12"/>
      <c r="H43" s="1"/>
      <c r="I43" s="12"/>
    </row>
    <row r="44" spans="2:10" ht="24">
      <c r="B44" s="12"/>
      <c r="C44" s="12"/>
      <c r="D44" s="12"/>
      <c r="E44" s="12"/>
      <c r="F44" s="12"/>
      <c r="G44" s="12"/>
      <c r="H44" s="12"/>
      <c r="I44" s="41"/>
    </row>
    <row r="45" spans="2:10" ht="24">
      <c r="B45" s="12"/>
      <c r="C45" s="12"/>
      <c r="D45" s="12"/>
      <c r="E45" s="12"/>
      <c r="F45" s="39"/>
      <c r="G45" s="39"/>
      <c r="H45" s="40"/>
      <c r="I45" s="39"/>
    </row>
  </sheetData>
  <mergeCells count="9">
    <mergeCell ref="E27:H27"/>
    <mergeCell ref="E29:H29"/>
    <mergeCell ref="E28:H28"/>
    <mergeCell ref="I2:J2"/>
    <mergeCell ref="B6:D6"/>
    <mergeCell ref="G15:G16"/>
    <mergeCell ref="H16:J16"/>
    <mergeCell ref="H17:J17"/>
    <mergeCell ref="B22:I23"/>
  </mergeCells>
  <phoneticPr fontId="7"/>
  <dataValidations count="1">
    <dataValidation allowBlank="1" showInputMessage="1" showErrorMessage="1" sqref="H2" xr:uid="{C1A6F6AB-ABE2-5F42-B474-F3A2EED236E5}"/>
  </dataValidations>
  <pageMargins left="0.7" right="0.7" top="0.75" bottom="0.75" header="0.3" footer="0.3"/>
  <pageSetup paperSize="9" scale="77"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C7BAD-1A11-2B4F-8863-3DD00822CB47}">
  <sheetPr>
    <tabColor theme="4"/>
    <pageSetUpPr fitToPage="1"/>
  </sheetPr>
  <dimension ref="B1:M45"/>
  <sheetViews>
    <sheetView topLeftCell="A17" zoomScaleNormal="100" workbookViewId="0">
      <selection activeCell="L33" sqref="L33"/>
    </sheetView>
  </sheetViews>
  <sheetFormatPr baseColWidth="10" defaultColWidth="8.83203125" defaultRowHeight="18"/>
  <cols>
    <col min="1" max="1" width="8.1640625" customWidth="1"/>
    <col min="2" max="2" width="4.33203125" customWidth="1"/>
    <col min="3" max="3" width="8.5" customWidth="1"/>
    <col min="4" max="4" width="17.1640625" customWidth="1"/>
    <col min="5" max="5" width="13.6640625" customWidth="1"/>
    <col min="6" max="6" width="17.1640625" customWidth="1"/>
    <col min="7" max="7" width="13.6640625" customWidth="1"/>
    <col min="8" max="8" width="17.1640625" customWidth="1"/>
    <col min="9" max="9" width="6.5" customWidth="1"/>
    <col min="10" max="10" width="6.6640625" customWidth="1"/>
    <col min="11" max="11" width="11.1640625" customWidth="1"/>
    <col min="12" max="12" width="6.6640625" customWidth="1"/>
    <col min="13" max="13" width="15.83203125" customWidth="1"/>
    <col min="14" max="14" width="17.6640625" customWidth="1"/>
    <col min="15" max="15" width="18.1640625" customWidth="1"/>
  </cols>
  <sheetData>
    <row r="1" spans="2:13">
      <c r="I1" s="10"/>
    </row>
    <row r="2" spans="2:13" ht="24">
      <c r="B2" s="1"/>
      <c r="G2" s="87"/>
      <c r="H2" s="88"/>
      <c r="I2" s="130"/>
      <c r="J2" s="130"/>
    </row>
    <row r="3" spans="2:13" ht="24" customHeight="1">
      <c r="B3" s="76"/>
      <c r="C3" s="76"/>
      <c r="D3" s="76"/>
      <c r="E3" s="76"/>
      <c r="G3" s="87"/>
      <c r="H3" s="88"/>
      <c r="I3" s="88"/>
    </row>
    <row r="4" spans="2:13" ht="18.75" customHeight="1">
      <c r="B4" s="76"/>
      <c r="C4" s="76"/>
      <c r="D4" s="76"/>
      <c r="E4" s="76"/>
    </row>
    <row r="5" spans="2:13" ht="24">
      <c r="B5" s="33"/>
      <c r="C5" s="33"/>
      <c r="D5" s="33"/>
    </row>
    <row r="6" spans="2:13" ht="45">
      <c r="B6" s="131"/>
      <c r="C6" s="131"/>
      <c r="D6" s="131"/>
      <c r="E6" s="1"/>
      <c r="F6" s="86" t="s">
        <v>137</v>
      </c>
    </row>
    <row r="7" spans="2:13" ht="24">
      <c r="B7" s="1" t="s">
        <v>20</v>
      </c>
      <c r="C7" s="12"/>
      <c r="D7" s="90">
        <v>3000011571</v>
      </c>
      <c r="E7" s="13"/>
    </row>
    <row r="8" spans="2:13" ht="24">
      <c r="B8" s="12" t="s">
        <v>21</v>
      </c>
      <c r="C8" s="12"/>
      <c r="D8" s="12" t="str">
        <f>受給者情報!G21</f>
        <v>佐野友彦</v>
      </c>
      <c r="E8" t="s">
        <v>41</v>
      </c>
    </row>
    <row r="12" spans="2:13" ht="31">
      <c r="E12" s="52" t="s">
        <v>22</v>
      </c>
      <c r="F12" s="52"/>
      <c r="G12" s="52"/>
    </row>
    <row r="13" spans="2:13" ht="24">
      <c r="I13" s="14"/>
      <c r="M13" s="37"/>
    </row>
    <row r="14" spans="2:13">
      <c r="M14" s="37"/>
    </row>
    <row r="15" spans="2:13" ht="24" customHeight="1">
      <c r="G15" s="132" t="s">
        <v>23</v>
      </c>
      <c r="H15" s="49" t="s">
        <v>24</v>
      </c>
      <c r="I15" s="49"/>
      <c r="M15" s="37"/>
    </row>
    <row r="16" spans="2:13" ht="24" customHeight="1">
      <c r="G16" s="132"/>
      <c r="H16" s="133" t="s">
        <v>25</v>
      </c>
      <c r="I16" s="133"/>
      <c r="J16" s="133"/>
      <c r="M16" s="37"/>
    </row>
    <row r="17" spans="2:13" ht="40.5" customHeight="1">
      <c r="G17" s="50"/>
      <c r="H17" s="133" t="s">
        <v>27</v>
      </c>
      <c r="I17" s="133"/>
      <c r="J17" s="133"/>
      <c r="M17" s="37"/>
    </row>
    <row r="18" spans="2:13">
      <c r="G18" s="51" t="s">
        <v>28</v>
      </c>
      <c r="H18" s="51" t="str">
        <f>事業者情報!C5&amp;"　"&amp;事業者情報!C6</f>
        <v>代表取締役社長　澤田昌志</v>
      </c>
      <c r="M18" s="37"/>
    </row>
    <row r="19" spans="2:13">
      <c r="G19" s="51" t="s">
        <v>29</v>
      </c>
      <c r="H19" s="51" t="str">
        <f>事業者情報!C7&amp;""</f>
        <v>0566-63-6817</v>
      </c>
      <c r="M19" s="37"/>
    </row>
    <row r="20" spans="2:13">
      <c r="G20" s="51" t="s">
        <v>30</v>
      </c>
      <c r="H20" s="51" t="str">
        <f>事業者情報!C8&amp;""</f>
        <v>0566-63-6818</v>
      </c>
      <c r="M20" s="37"/>
    </row>
    <row r="21" spans="2:13">
      <c r="M21" s="37"/>
    </row>
    <row r="22" spans="2:13" ht="24" customHeight="1">
      <c r="B22" s="134" t="s">
        <v>135</v>
      </c>
      <c r="C22" s="134"/>
      <c r="D22" s="134"/>
      <c r="E22" s="134"/>
      <c r="F22" s="134"/>
      <c r="G22" s="134"/>
      <c r="H22" s="134"/>
      <c r="I22" s="134"/>
      <c r="M22" s="37"/>
    </row>
    <row r="23" spans="2:13" ht="24" customHeight="1">
      <c r="B23" s="134"/>
      <c r="C23" s="134"/>
      <c r="D23" s="134"/>
      <c r="E23" s="134"/>
      <c r="F23" s="134"/>
      <c r="G23" s="134"/>
      <c r="H23" s="134"/>
      <c r="I23" s="134"/>
      <c r="M23" s="37"/>
    </row>
    <row r="25" spans="2:13" ht="27">
      <c r="C25" s="98">
        <v>10</v>
      </c>
      <c r="D25" s="98" t="s">
        <v>173</v>
      </c>
      <c r="E25" s="71" t="s">
        <v>32</v>
      </c>
      <c r="F25" s="72">
        <f>H34</f>
        <v>0</v>
      </c>
      <c r="G25" s="16" t="s">
        <v>33</v>
      </c>
    </row>
    <row r="27" spans="2:13" ht="24.75" customHeight="1">
      <c r="B27" s="55"/>
      <c r="C27" s="56"/>
      <c r="D27" s="64" t="s">
        <v>42</v>
      </c>
      <c r="E27" s="136" t="s">
        <v>133</v>
      </c>
      <c r="F27" s="124"/>
      <c r="G27" s="124"/>
      <c r="H27" s="125"/>
      <c r="I27" s="12"/>
    </row>
    <row r="28" spans="2:13" ht="24.75" customHeight="1">
      <c r="B28" s="55"/>
      <c r="C28" s="56"/>
      <c r="D28" s="60" t="s">
        <v>139</v>
      </c>
      <c r="E28" s="135" t="s">
        <v>104</v>
      </c>
      <c r="F28" s="124"/>
      <c r="G28" s="124"/>
      <c r="H28" s="125"/>
      <c r="I28" s="12"/>
    </row>
    <row r="29" spans="2:13" ht="24.75" customHeight="1">
      <c r="B29" s="57"/>
      <c r="C29" s="56"/>
      <c r="D29" s="60" t="s">
        <v>43</v>
      </c>
      <c r="E29" s="126">
        <v>46010</v>
      </c>
      <c r="F29" s="124"/>
      <c r="G29" s="124"/>
      <c r="H29" s="125"/>
      <c r="I29" s="53"/>
    </row>
    <row r="30" spans="2:13" ht="24.75" customHeight="1">
      <c r="B30" s="57"/>
      <c r="C30" s="56"/>
      <c r="D30" s="65" t="s">
        <v>44</v>
      </c>
      <c r="E30" s="61"/>
      <c r="F30" s="67"/>
      <c r="G30" s="45"/>
      <c r="H30" s="104"/>
      <c r="I30" s="73" t="s">
        <v>45</v>
      </c>
    </row>
    <row r="31" spans="2:13" ht="24.75" customHeight="1">
      <c r="B31" s="57"/>
      <c r="C31" s="56"/>
      <c r="D31" s="62" t="s">
        <v>46</v>
      </c>
      <c r="E31" s="68" t="s">
        <v>35</v>
      </c>
      <c r="F31" s="67"/>
      <c r="G31" s="45"/>
      <c r="H31" s="101">
        <f>H30</f>
        <v>0</v>
      </c>
      <c r="I31" s="74" t="s">
        <v>40</v>
      </c>
    </row>
    <row r="32" spans="2:13" ht="24.75" customHeight="1">
      <c r="B32" s="57"/>
      <c r="C32" s="56"/>
      <c r="D32" s="62"/>
      <c r="E32" s="68" t="s">
        <v>36</v>
      </c>
      <c r="F32" s="67"/>
      <c r="G32" s="45"/>
      <c r="H32" s="102">
        <v>0</v>
      </c>
      <c r="I32" s="74" t="s">
        <v>40</v>
      </c>
    </row>
    <row r="33" spans="2:10" ht="24.75" customHeight="1">
      <c r="B33" s="57"/>
      <c r="C33" s="56"/>
      <c r="D33" s="62"/>
      <c r="E33" s="66" t="s">
        <v>37</v>
      </c>
      <c r="F33" s="69"/>
      <c r="G33" s="43"/>
      <c r="H33" s="103">
        <v>0</v>
      </c>
      <c r="I33" s="74" t="s">
        <v>40</v>
      </c>
    </row>
    <row r="34" spans="2:10" ht="24">
      <c r="B34" s="57"/>
      <c r="C34" s="56"/>
      <c r="D34" s="42"/>
      <c r="E34" s="38"/>
      <c r="F34" s="38"/>
      <c r="G34" s="63" t="s">
        <v>47</v>
      </c>
      <c r="H34" s="96">
        <f>SUM(H31-H32+H33)</f>
        <v>0</v>
      </c>
      <c r="I34" s="74" t="s">
        <v>40</v>
      </c>
    </row>
    <row r="35" spans="2:10" ht="24">
      <c r="B35" s="57"/>
      <c r="C35" s="56"/>
      <c r="D35" s="12"/>
      <c r="E35" s="12"/>
      <c r="F35" s="12"/>
      <c r="G35" s="12"/>
      <c r="H35" s="12"/>
      <c r="I35" s="53"/>
    </row>
    <row r="36" spans="2:10" ht="24">
      <c r="B36" s="57"/>
      <c r="C36" s="56"/>
      <c r="D36" s="12"/>
      <c r="E36" s="12"/>
      <c r="F36" s="12"/>
      <c r="G36" s="12"/>
      <c r="H36" s="12"/>
      <c r="I36" s="12"/>
    </row>
    <row r="37" spans="2:10" ht="24">
      <c r="B37" s="57"/>
      <c r="C37" s="56"/>
      <c r="D37" s="12"/>
      <c r="E37" s="12"/>
      <c r="F37" s="12"/>
      <c r="G37" s="12"/>
      <c r="H37" s="12"/>
      <c r="I37" s="12"/>
    </row>
    <row r="38" spans="2:10" ht="24">
      <c r="B38" s="57"/>
      <c r="C38" s="56"/>
      <c r="D38" s="12"/>
      <c r="E38" s="12"/>
      <c r="F38" s="12"/>
      <c r="G38" s="12"/>
      <c r="H38" s="12"/>
      <c r="I38" s="54"/>
    </row>
    <row r="39" spans="2:10" s="11" customFormat="1" ht="20.25" customHeight="1">
      <c r="B39" s="57"/>
      <c r="C39" s="58"/>
      <c r="D39" s="12"/>
      <c r="E39" s="12"/>
      <c r="F39" s="12"/>
      <c r="G39" s="12"/>
      <c r="H39" s="12"/>
      <c r="I39" s="12"/>
      <c r="J39" s="18"/>
    </row>
    <row r="40" spans="2:10" s="11" customFormat="1" ht="20.25" customHeight="1">
      <c r="B40" s="57"/>
      <c r="C40" s="58"/>
      <c r="D40" s="12"/>
      <c r="E40" s="12"/>
      <c r="F40" s="12"/>
      <c r="G40" s="12"/>
      <c r="H40" s="12"/>
      <c r="I40" s="12"/>
    </row>
    <row r="41" spans="2:10" s="11" customFormat="1" ht="20.25" customHeight="1">
      <c r="B41" s="57"/>
      <c r="C41" s="58"/>
      <c r="D41" s="12"/>
      <c r="E41" s="12"/>
      <c r="F41" s="12"/>
      <c r="G41" s="12"/>
      <c r="H41" s="12"/>
      <c r="I41" s="12"/>
    </row>
    <row r="42" spans="2:10" s="11" customFormat="1" ht="20.25" customHeight="1">
      <c r="B42" s="57"/>
      <c r="C42" s="58"/>
      <c r="D42" s="12"/>
      <c r="E42" s="12"/>
      <c r="F42" s="12"/>
      <c r="G42" s="12"/>
      <c r="H42" s="12"/>
      <c r="I42" s="12"/>
    </row>
    <row r="43" spans="2:10" ht="24">
      <c r="B43" s="1"/>
      <c r="C43" s="1"/>
      <c r="D43" s="1"/>
      <c r="E43" s="1"/>
      <c r="F43" s="1"/>
      <c r="G43" s="12"/>
      <c r="H43" s="1"/>
      <c r="I43" s="12"/>
    </row>
    <row r="44" spans="2:10" ht="24">
      <c r="B44" s="12"/>
      <c r="C44" s="12"/>
      <c r="D44" s="12"/>
      <c r="E44" s="12"/>
      <c r="F44" s="12"/>
      <c r="G44" s="12"/>
      <c r="H44" s="12"/>
      <c r="I44" s="41"/>
    </row>
    <row r="45" spans="2:10" ht="24">
      <c r="B45" s="12"/>
      <c r="C45" s="12"/>
      <c r="D45" s="12"/>
      <c r="E45" s="12"/>
      <c r="F45" s="39"/>
      <c r="G45" s="39"/>
      <c r="H45" s="40"/>
      <c r="I45" s="39"/>
    </row>
  </sheetData>
  <mergeCells count="9">
    <mergeCell ref="E27:H27"/>
    <mergeCell ref="E29:H29"/>
    <mergeCell ref="E28:H28"/>
    <mergeCell ref="I2:J2"/>
    <mergeCell ref="B6:D6"/>
    <mergeCell ref="G15:G16"/>
    <mergeCell ref="H16:J16"/>
    <mergeCell ref="H17:J17"/>
    <mergeCell ref="B22:I23"/>
  </mergeCells>
  <phoneticPr fontId="7"/>
  <dataValidations count="1">
    <dataValidation allowBlank="1" showInputMessage="1" showErrorMessage="1" sqref="H2" xr:uid="{F7905F39-6189-7348-96BE-BD1CDFBCDCB5}"/>
  </dataValidations>
  <pageMargins left="0.7" right="0.7" top="0.75" bottom="0.75" header="0.3" footer="0.3"/>
  <pageSetup paperSize="9" scale="77"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7CC3B-C2DC-8B4C-A213-4C63115C46DD}">
  <sheetPr>
    <tabColor theme="4"/>
    <pageSetUpPr fitToPage="1"/>
  </sheetPr>
  <dimension ref="B1:M45"/>
  <sheetViews>
    <sheetView topLeftCell="A8" zoomScaleNormal="100" workbookViewId="0">
      <selection activeCell="L33" sqref="L33"/>
    </sheetView>
  </sheetViews>
  <sheetFormatPr baseColWidth="10" defaultColWidth="8.83203125" defaultRowHeight="18"/>
  <cols>
    <col min="1" max="1" width="8.1640625" customWidth="1"/>
    <col min="2" max="2" width="4.33203125" customWidth="1"/>
    <col min="3" max="3" width="8.5" customWidth="1"/>
    <col min="4" max="4" width="17.1640625" customWidth="1"/>
    <col min="5" max="5" width="13.6640625" customWidth="1"/>
    <col min="6" max="6" width="17.1640625" customWidth="1"/>
    <col min="7" max="7" width="13.6640625" customWidth="1"/>
    <col min="8" max="8" width="17.1640625" customWidth="1"/>
    <col min="9" max="9" width="6.5" customWidth="1"/>
    <col min="10" max="10" width="6.6640625" customWidth="1"/>
    <col min="11" max="11" width="11.1640625" customWidth="1"/>
    <col min="12" max="12" width="6.6640625" customWidth="1"/>
    <col min="13" max="13" width="15.83203125" customWidth="1"/>
    <col min="14" max="14" width="17.6640625" customWidth="1"/>
    <col min="15" max="15" width="18.1640625" customWidth="1"/>
  </cols>
  <sheetData>
    <row r="1" spans="2:13">
      <c r="I1" s="10"/>
    </row>
    <row r="2" spans="2:13" ht="24">
      <c r="B2" s="1"/>
      <c r="G2" s="87"/>
      <c r="H2" s="88"/>
      <c r="I2" s="130"/>
      <c r="J2" s="130"/>
    </row>
    <row r="3" spans="2:13" ht="24" customHeight="1">
      <c r="B3" s="76"/>
      <c r="C3" s="76"/>
      <c r="D3" s="76"/>
      <c r="E3" s="76"/>
      <c r="G3" s="87"/>
      <c r="H3" s="88"/>
      <c r="I3" s="88"/>
    </row>
    <row r="4" spans="2:13" ht="18.75" customHeight="1">
      <c r="B4" s="76"/>
      <c r="C4" s="76"/>
      <c r="D4" s="76"/>
      <c r="E4" s="76"/>
    </row>
    <row r="5" spans="2:13" ht="24">
      <c r="B5" s="33"/>
      <c r="C5" s="33"/>
      <c r="D5" s="33"/>
    </row>
    <row r="6" spans="2:13" ht="45">
      <c r="B6" s="131"/>
      <c r="C6" s="131"/>
      <c r="D6" s="131"/>
      <c r="E6" s="1"/>
      <c r="F6" s="86" t="s">
        <v>137</v>
      </c>
    </row>
    <row r="7" spans="2:13" ht="24">
      <c r="B7" s="1" t="s">
        <v>20</v>
      </c>
      <c r="C7" s="12"/>
      <c r="D7" s="90">
        <v>3000005722</v>
      </c>
      <c r="E7" s="13"/>
    </row>
    <row r="8" spans="2:13" ht="24">
      <c r="B8" s="12" t="s">
        <v>21</v>
      </c>
      <c r="C8" s="12"/>
      <c r="D8" s="12" t="str">
        <f>受給者情報!G22</f>
        <v>阿南加奈恵</v>
      </c>
      <c r="E8" t="s">
        <v>41</v>
      </c>
    </row>
    <row r="12" spans="2:13" ht="31">
      <c r="E12" s="52" t="s">
        <v>22</v>
      </c>
      <c r="F12" s="52"/>
      <c r="G12" s="52"/>
    </row>
    <row r="13" spans="2:13" ht="24">
      <c r="I13" s="14"/>
      <c r="M13" s="37"/>
    </row>
    <row r="14" spans="2:13">
      <c r="M14" s="37"/>
    </row>
    <row r="15" spans="2:13" ht="24" customHeight="1">
      <c r="G15" s="132" t="s">
        <v>23</v>
      </c>
      <c r="H15" s="49" t="s">
        <v>24</v>
      </c>
      <c r="I15" s="49"/>
      <c r="M15" s="37"/>
    </row>
    <row r="16" spans="2:13" ht="24" customHeight="1">
      <c r="G16" s="132"/>
      <c r="H16" s="133" t="s">
        <v>25</v>
      </c>
      <c r="I16" s="133"/>
      <c r="J16" s="133"/>
      <c r="M16" s="37"/>
    </row>
    <row r="17" spans="2:13" ht="40.5" customHeight="1">
      <c r="G17" s="50"/>
      <c r="H17" s="133" t="s">
        <v>27</v>
      </c>
      <c r="I17" s="133"/>
      <c r="J17" s="133"/>
      <c r="M17" s="37"/>
    </row>
    <row r="18" spans="2:13">
      <c r="G18" s="51" t="s">
        <v>28</v>
      </c>
      <c r="H18" s="51" t="str">
        <f>事業者情報!C5&amp;"　"&amp;事業者情報!C6</f>
        <v>代表取締役社長　澤田昌志</v>
      </c>
      <c r="M18" s="37"/>
    </row>
    <row r="19" spans="2:13">
      <c r="G19" s="51" t="s">
        <v>29</v>
      </c>
      <c r="H19" s="51" t="str">
        <f>事業者情報!C7&amp;""</f>
        <v>0566-63-6817</v>
      </c>
      <c r="M19" s="37"/>
    </row>
    <row r="20" spans="2:13">
      <c r="G20" s="51" t="s">
        <v>30</v>
      </c>
      <c r="H20" s="51" t="str">
        <f>事業者情報!C8&amp;""</f>
        <v>0566-63-6818</v>
      </c>
      <c r="M20" s="37"/>
    </row>
    <row r="21" spans="2:13">
      <c r="M21" s="37"/>
    </row>
    <row r="22" spans="2:13" ht="24" customHeight="1">
      <c r="B22" s="134" t="s">
        <v>135</v>
      </c>
      <c r="C22" s="134"/>
      <c r="D22" s="134"/>
      <c r="E22" s="134"/>
      <c r="F22" s="134"/>
      <c r="G22" s="134"/>
      <c r="H22" s="134"/>
      <c r="I22" s="134"/>
      <c r="M22" s="37"/>
    </row>
    <row r="23" spans="2:13" ht="24" customHeight="1">
      <c r="B23" s="134"/>
      <c r="C23" s="134"/>
      <c r="D23" s="134"/>
      <c r="E23" s="134"/>
      <c r="F23" s="134"/>
      <c r="G23" s="134"/>
      <c r="H23" s="134"/>
      <c r="I23" s="134"/>
      <c r="M23" s="37"/>
    </row>
    <row r="25" spans="2:13" ht="27">
      <c r="C25" s="98">
        <v>10</v>
      </c>
      <c r="D25" s="98" t="s">
        <v>173</v>
      </c>
      <c r="E25" s="71" t="s">
        <v>32</v>
      </c>
      <c r="F25" s="72">
        <f>H34</f>
        <v>0</v>
      </c>
      <c r="G25" s="16" t="s">
        <v>33</v>
      </c>
    </row>
    <row r="27" spans="2:13" ht="24.75" customHeight="1">
      <c r="B27" s="55"/>
      <c r="C27" s="56"/>
      <c r="D27" s="64" t="s">
        <v>42</v>
      </c>
      <c r="E27" s="136" t="s">
        <v>133</v>
      </c>
      <c r="F27" s="124"/>
      <c r="G27" s="124"/>
      <c r="H27" s="125"/>
      <c r="I27" s="12"/>
    </row>
    <row r="28" spans="2:13" ht="24.75" customHeight="1">
      <c r="B28" s="55"/>
      <c r="C28" s="56"/>
      <c r="D28" s="60" t="s">
        <v>139</v>
      </c>
      <c r="E28" s="135" t="s">
        <v>104</v>
      </c>
      <c r="F28" s="124"/>
      <c r="G28" s="124"/>
      <c r="H28" s="125"/>
      <c r="I28" s="12"/>
    </row>
    <row r="29" spans="2:13" ht="24.75" customHeight="1">
      <c r="B29" s="57"/>
      <c r="C29" s="56"/>
      <c r="D29" s="60" t="s">
        <v>43</v>
      </c>
      <c r="E29" s="126">
        <v>46010</v>
      </c>
      <c r="F29" s="124"/>
      <c r="G29" s="124"/>
      <c r="H29" s="125"/>
      <c r="I29" s="53"/>
    </row>
    <row r="30" spans="2:13" ht="24.75" customHeight="1">
      <c r="B30" s="57"/>
      <c r="C30" s="56"/>
      <c r="D30" s="65" t="s">
        <v>44</v>
      </c>
      <c r="E30" s="61"/>
      <c r="F30" s="67"/>
      <c r="G30" s="45"/>
      <c r="H30" s="46"/>
      <c r="I30" s="73" t="s">
        <v>45</v>
      </c>
    </row>
    <row r="31" spans="2:13" ht="24.75" customHeight="1">
      <c r="B31" s="57"/>
      <c r="C31" s="56"/>
      <c r="D31" s="62" t="s">
        <v>46</v>
      </c>
      <c r="E31" s="68" t="s">
        <v>35</v>
      </c>
      <c r="F31" s="67"/>
      <c r="G31" s="45"/>
      <c r="H31" s="44">
        <f>H30</f>
        <v>0</v>
      </c>
      <c r="I31" s="74" t="s">
        <v>40</v>
      </c>
    </row>
    <row r="32" spans="2:13" ht="24.75" customHeight="1">
      <c r="B32" s="57"/>
      <c r="C32" s="56"/>
      <c r="D32" s="62"/>
      <c r="E32" s="68" t="s">
        <v>36</v>
      </c>
      <c r="F32" s="67"/>
      <c r="G32" s="45"/>
      <c r="H32" s="45">
        <v>0</v>
      </c>
      <c r="I32" s="74" t="s">
        <v>40</v>
      </c>
    </row>
    <row r="33" spans="2:10" ht="24.75" customHeight="1">
      <c r="B33" s="57"/>
      <c r="C33" s="56"/>
      <c r="D33" s="62"/>
      <c r="E33" s="66" t="s">
        <v>37</v>
      </c>
      <c r="F33" s="69"/>
      <c r="G33" s="43"/>
      <c r="H33" s="59"/>
      <c r="I33" s="74" t="s">
        <v>40</v>
      </c>
    </row>
    <row r="34" spans="2:10" ht="24">
      <c r="B34" s="57"/>
      <c r="C34" s="56"/>
      <c r="D34" s="42"/>
      <c r="E34" s="38"/>
      <c r="F34" s="38"/>
      <c r="G34" s="63" t="s">
        <v>47</v>
      </c>
      <c r="H34" s="70">
        <f>SUM(H31-H32+H33)</f>
        <v>0</v>
      </c>
      <c r="I34" s="74" t="s">
        <v>40</v>
      </c>
    </row>
    <row r="35" spans="2:10" ht="24">
      <c r="B35" s="57"/>
      <c r="C35" s="56"/>
      <c r="D35" s="12"/>
      <c r="E35" s="12"/>
      <c r="F35" s="12"/>
      <c r="G35" s="12"/>
      <c r="H35" s="12"/>
      <c r="I35" s="53"/>
    </row>
    <row r="36" spans="2:10" ht="24">
      <c r="B36" s="57"/>
      <c r="C36" s="56"/>
      <c r="D36" s="12"/>
      <c r="E36" s="12"/>
      <c r="F36" s="12"/>
      <c r="G36" s="12"/>
      <c r="H36" s="12"/>
      <c r="I36" s="12"/>
    </row>
    <row r="37" spans="2:10" ht="24">
      <c r="B37" s="57"/>
      <c r="C37" s="56"/>
      <c r="D37" s="12"/>
      <c r="E37" s="12"/>
      <c r="F37" s="12"/>
      <c r="G37" s="12"/>
      <c r="H37" s="12"/>
      <c r="I37" s="12"/>
    </row>
    <row r="38" spans="2:10" ht="24">
      <c r="B38" s="57"/>
      <c r="C38" s="56"/>
      <c r="D38" s="12"/>
      <c r="E38" s="12"/>
      <c r="F38" s="12"/>
      <c r="G38" s="12"/>
      <c r="H38" s="12"/>
      <c r="I38" s="54"/>
    </row>
    <row r="39" spans="2:10" s="11" customFormat="1" ht="20.25" customHeight="1">
      <c r="B39" s="57"/>
      <c r="C39" s="58"/>
      <c r="D39" s="12"/>
      <c r="E39" s="12"/>
      <c r="F39" s="12"/>
      <c r="G39" s="12"/>
      <c r="H39" s="12"/>
      <c r="I39" s="12"/>
      <c r="J39" s="18"/>
    </row>
    <row r="40" spans="2:10" s="11" customFormat="1" ht="20.25" customHeight="1">
      <c r="B40" s="57"/>
      <c r="C40" s="58"/>
      <c r="D40" s="12"/>
      <c r="E40" s="12"/>
      <c r="F40" s="12"/>
      <c r="G40" s="12"/>
      <c r="H40" s="12"/>
      <c r="I40" s="12"/>
    </row>
    <row r="41" spans="2:10" s="11" customFormat="1" ht="20.25" customHeight="1">
      <c r="B41" s="57"/>
      <c r="C41" s="58"/>
      <c r="D41" s="12"/>
      <c r="E41" s="12"/>
      <c r="F41" s="12"/>
      <c r="G41" s="12"/>
      <c r="H41" s="12"/>
      <c r="I41" s="12"/>
    </row>
    <row r="42" spans="2:10" s="11" customFormat="1" ht="20.25" customHeight="1">
      <c r="B42" s="57"/>
      <c r="C42" s="58"/>
      <c r="D42" s="12"/>
      <c r="E42" s="12"/>
      <c r="F42" s="12"/>
      <c r="G42" s="12"/>
      <c r="H42" s="12"/>
      <c r="I42" s="12"/>
    </row>
    <row r="43" spans="2:10" ht="24">
      <c r="B43" s="1"/>
      <c r="C43" s="1"/>
      <c r="D43" s="1"/>
      <c r="E43" s="1"/>
      <c r="F43" s="1"/>
      <c r="G43" s="12"/>
      <c r="H43" s="1"/>
      <c r="I43" s="12"/>
    </row>
    <row r="44" spans="2:10" ht="24">
      <c r="B44" s="12"/>
      <c r="C44" s="12"/>
      <c r="D44" s="12"/>
      <c r="E44" s="12"/>
      <c r="F44" s="12"/>
      <c r="G44" s="12"/>
      <c r="H44" s="12"/>
      <c r="I44" s="41"/>
    </row>
    <row r="45" spans="2:10" ht="24">
      <c r="B45" s="12"/>
      <c r="C45" s="12"/>
      <c r="D45" s="12"/>
      <c r="E45" s="12"/>
      <c r="F45" s="39"/>
      <c r="G45" s="39"/>
      <c r="H45" s="40"/>
      <c r="I45" s="39"/>
    </row>
  </sheetData>
  <mergeCells count="9">
    <mergeCell ref="E27:H27"/>
    <mergeCell ref="E29:H29"/>
    <mergeCell ref="E28:H28"/>
    <mergeCell ref="I2:J2"/>
    <mergeCell ref="B6:D6"/>
    <mergeCell ref="G15:G16"/>
    <mergeCell ref="H16:J16"/>
    <mergeCell ref="H17:J17"/>
    <mergeCell ref="B22:I23"/>
  </mergeCells>
  <phoneticPr fontId="7"/>
  <dataValidations count="1">
    <dataValidation allowBlank="1" showInputMessage="1" showErrorMessage="1" sqref="H2" xr:uid="{E28A32B1-5086-974E-9FFD-81D31186C8F4}"/>
  </dataValidations>
  <pageMargins left="0.7" right="0.7" top="0.75" bottom="0.75" header="0.3" footer="0.3"/>
  <pageSetup paperSize="9" scale="77"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C84CB-FD4C-BC45-96E4-E54B139F6936}">
  <sheetPr>
    <tabColor theme="4"/>
    <pageSetUpPr fitToPage="1"/>
  </sheetPr>
  <dimension ref="B1:M45"/>
  <sheetViews>
    <sheetView topLeftCell="A17" zoomScaleNormal="100" workbookViewId="0">
      <selection activeCell="L33" sqref="L33"/>
    </sheetView>
  </sheetViews>
  <sheetFormatPr baseColWidth="10" defaultColWidth="8.83203125" defaultRowHeight="18"/>
  <cols>
    <col min="1" max="1" width="8.1640625" customWidth="1"/>
    <col min="2" max="2" width="4.33203125" customWidth="1"/>
    <col min="3" max="3" width="8.5" customWidth="1"/>
    <col min="4" max="4" width="17.1640625" customWidth="1"/>
    <col min="5" max="5" width="13.6640625" customWidth="1"/>
    <col min="6" max="6" width="17.1640625" customWidth="1"/>
    <col min="7" max="7" width="13.6640625" customWidth="1"/>
    <col min="8" max="8" width="17.1640625" customWidth="1"/>
    <col min="9" max="9" width="6.5" customWidth="1"/>
    <col min="10" max="10" width="6.6640625" customWidth="1"/>
    <col min="11" max="11" width="11.1640625" customWidth="1"/>
    <col min="12" max="12" width="6.6640625" customWidth="1"/>
    <col min="13" max="13" width="15.83203125" customWidth="1"/>
    <col min="14" max="14" width="17.6640625" customWidth="1"/>
    <col min="15" max="15" width="18.1640625" customWidth="1"/>
  </cols>
  <sheetData>
    <row r="1" spans="2:13">
      <c r="I1" s="10"/>
    </row>
    <row r="2" spans="2:13" ht="24">
      <c r="B2" s="1"/>
      <c r="G2" s="87"/>
      <c r="H2" s="88"/>
      <c r="I2" s="130"/>
      <c r="J2" s="130"/>
    </row>
    <row r="3" spans="2:13" ht="24" customHeight="1">
      <c r="B3" s="76"/>
      <c r="C3" s="76"/>
      <c r="D3" s="76"/>
      <c r="E3" s="76"/>
      <c r="G3" s="87"/>
      <c r="H3" s="88"/>
      <c r="I3" s="88"/>
    </row>
    <row r="4" spans="2:13" ht="18.75" customHeight="1">
      <c r="B4" s="76"/>
      <c r="C4" s="76"/>
      <c r="D4" s="76"/>
      <c r="E4" s="76"/>
    </row>
    <row r="5" spans="2:13" ht="24">
      <c r="B5" s="33"/>
      <c r="C5" s="33"/>
      <c r="D5" s="33"/>
    </row>
    <row r="6" spans="2:13" ht="45">
      <c r="B6" s="131"/>
      <c r="C6" s="131"/>
      <c r="D6" s="131"/>
      <c r="E6" s="1"/>
      <c r="F6" s="86" t="s">
        <v>137</v>
      </c>
    </row>
    <row r="7" spans="2:13" ht="24">
      <c r="B7" s="1" t="s">
        <v>20</v>
      </c>
      <c r="C7" s="12"/>
      <c r="D7" s="90" t="s">
        <v>169</v>
      </c>
      <c r="E7" s="13"/>
    </row>
    <row r="8" spans="2:13" ht="24">
      <c r="B8" s="12" t="s">
        <v>21</v>
      </c>
      <c r="C8" s="12"/>
      <c r="D8" s="12" t="str">
        <f>受給者情報!G23</f>
        <v>西山希望</v>
      </c>
      <c r="E8" t="s">
        <v>41</v>
      </c>
    </row>
    <row r="12" spans="2:13" ht="31">
      <c r="E12" s="52" t="s">
        <v>22</v>
      </c>
      <c r="F12" s="52"/>
      <c r="G12" s="52"/>
    </row>
    <row r="13" spans="2:13" ht="24">
      <c r="I13" s="14"/>
      <c r="M13" s="37"/>
    </row>
    <row r="14" spans="2:13">
      <c r="M14" s="37"/>
    </row>
    <row r="15" spans="2:13" ht="24" customHeight="1">
      <c r="G15" s="132" t="s">
        <v>23</v>
      </c>
      <c r="H15" s="49" t="s">
        <v>24</v>
      </c>
      <c r="I15" s="49"/>
      <c r="M15" s="37"/>
    </row>
    <row r="16" spans="2:13" ht="24" customHeight="1">
      <c r="G16" s="132"/>
      <c r="H16" s="133" t="s">
        <v>25</v>
      </c>
      <c r="I16" s="133"/>
      <c r="J16" s="133"/>
      <c r="M16" s="37"/>
    </row>
    <row r="17" spans="2:13" ht="40.5" customHeight="1">
      <c r="G17" s="50"/>
      <c r="H17" s="133" t="s">
        <v>27</v>
      </c>
      <c r="I17" s="133"/>
      <c r="J17" s="133"/>
      <c r="M17" s="37"/>
    </row>
    <row r="18" spans="2:13">
      <c r="G18" s="51" t="s">
        <v>28</v>
      </c>
      <c r="H18" s="51" t="str">
        <f>事業者情報!C5&amp;"　"&amp;事業者情報!C6</f>
        <v>代表取締役社長　澤田昌志</v>
      </c>
      <c r="M18" s="37"/>
    </row>
    <row r="19" spans="2:13">
      <c r="G19" s="51" t="s">
        <v>29</v>
      </c>
      <c r="H19" s="51" t="str">
        <f>事業者情報!C7&amp;""</f>
        <v>0566-63-6817</v>
      </c>
      <c r="M19" s="37"/>
    </row>
    <row r="20" spans="2:13">
      <c r="G20" s="51" t="s">
        <v>30</v>
      </c>
      <c r="H20" s="51" t="str">
        <f>事業者情報!C8&amp;""</f>
        <v>0566-63-6818</v>
      </c>
      <c r="M20" s="37"/>
    </row>
    <row r="21" spans="2:13">
      <c r="M21" s="37"/>
    </row>
    <row r="22" spans="2:13" ht="24" customHeight="1">
      <c r="B22" s="134" t="s">
        <v>135</v>
      </c>
      <c r="C22" s="134"/>
      <c r="D22" s="134"/>
      <c r="E22" s="134"/>
      <c r="F22" s="134"/>
      <c r="G22" s="134"/>
      <c r="H22" s="134"/>
      <c r="I22" s="134"/>
      <c r="M22" s="37"/>
    </row>
    <row r="23" spans="2:13" ht="24" customHeight="1">
      <c r="B23" s="134"/>
      <c r="C23" s="134"/>
      <c r="D23" s="134"/>
      <c r="E23" s="134"/>
      <c r="F23" s="134"/>
      <c r="G23" s="134"/>
      <c r="H23" s="134"/>
      <c r="I23" s="134"/>
      <c r="M23" s="37"/>
    </row>
    <row r="25" spans="2:13" ht="27">
      <c r="C25" s="98">
        <v>10</v>
      </c>
      <c r="D25" s="98" t="s">
        <v>173</v>
      </c>
      <c r="E25" s="71" t="s">
        <v>32</v>
      </c>
      <c r="F25" s="72">
        <f>H34</f>
        <v>0</v>
      </c>
      <c r="G25" s="16" t="s">
        <v>33</v>
      </c>
    </row>
    <row r="27" spans="2:13" ht="24.75" customHeight="1">
      <c r="B27" s="55"/>
      <c r="C27" s="56"/>
      <c r="D27" s="64" t="s">
        <v>42</v>
      </c>
      <c r="E27" s="136" t="s">
        <v>148</v>
      </c>
      <c r="F27" s="124"/>
      <c r="G27" s="124"/>
      <c r="H27" s="125"/>
      <c r="I27" s="12"/>
    </row>
    <row r="28" spans="2:13" ht="24.75" customHeight="1">
      <c r="B28" s="55"/>
      <c r="C28" s="56"/>
      <c r="D28" s="60" t="s">
        <v>139</v>
      </c>
      <c r="E28" s="135" t="s">
        <v>104</v>
      </c>
      <c r="F28" s="124"/>
      <c r="G28" s="124"/>
      <c r="H28" s="125"/>
      <c r="I28" s="12"/>
    </row>
    <row r="29" spans="2:13" ht="24.75" customHeight="1">
      <c r="B29" s="57"/>
      <c r="C29" s="56"/>
      <c r="D29" s="60" t="s">
        <v>43</v>
      </c>
      <c r="E29" s="126">
        <v>46010</v>
      </c>
      <c r="F29" s="124"/>
      <c r="G29" s="124"/>
      <c r="H29" s="125"/>
      <c r="I29" s="53"/>
    </row>
    <row r="30" spans="2:13" ht="24.75" customHeight="1">
      <c r="B30" s="57"/>
      <c r="C30" s="56"/>
      <c r="D30" s="65" t="s">
        <v>44</v>
      </c>
      <c r="E30" s="61"/>
      <c r="F30" s="67"/>
      <c r="G30" s="45"/>
      <c r="H30" s="46"/>
      <c r="I30" s="73" t="s">
        <v>45</v>
      </c>
    </row>
    <row r="31" spans="2:13" ht="24.75" customHeight="1">
      <c r="B31" s="57"/>
      <c r="C31" s="56"/>
      <c r="D31" s="62" t="s">
        <v>46</v>
      </c>
      <c r="E31" s="68" t="s">
        <v>35</v>
      </c>
      <c r="F31" s="67"/>
      <c r="G31" s="45"/>
      <c r="H31" s="44">
        <f>H30</f>
        <v>0</v>
      </c>
      <c r="I31" s="74" t="s">
        <v>40</v>
      </c>
    </row>
    <row r="32" spans="2:13" ht="24.75" customHeight="1">
      <c r="B32" s="57"/>
      <c r="C32" s="56"/>
      <c r="D32" s="62"/>
      <c r="E32" s="68" t="s">
        <v>36</v>
      </c>
      <c r="F32" s="67"/>
      <c r="G32" s="45"/>
      <c r="H32" s="45">
        <v>0</v>
      </c>
      <c r="I32" s="74" t="s">
        <v>40</v>
      </c>
    </row>
    <row r="33" spans="2:10" ht="24.75" customHeight="1">
      <c r="B33" s="57"/>
      <c r="C33" s="56"/>
      <c r="D33" s="62"/>
      <c r="E33" s="66" t="s">
        <v>37</v>
      </c>
      <c r="F33" s="69"/>
      <c r="G33" s="43"/>
      <c r="H33" s="59">
        <v>0</v>
      </c>
      <c r="I33" s="74" t="s">
        <v>40</v>
      </c>
    </row>
    <row r="34" spans="2:10" ht="24">
      <c r="B34" s="57"/>
      <c r="C34" s="56"/>
      <c r="D34" s="42"/>
      <c r="E34" s="38"/>
      <c r="F34" s="38"/>
      <c r="G34" s="63" t="s">
        <v>47</v>
      </c>
      <c r="H34" s="70">
        <f>SUM(H31-H32+H33)</f>
        <v>0</v>
      </c>
      <c r="I34" s="74" t="s">
        <v>40</v>
      </c>
    </row>
    <row r="35" spans="2:10" ht="24">
      <c r="B35" s="57"/>
      <c r="C35" s="56"/>
      <c r="D35" s="12"/>
      <c r="E35" s="12"/>
      <c r="F35" s="12"/>
      <c r="G35" s="12"/>
      <c r="H35" s="12"/>
      <c r="I35" s="53"/>
    </row>
    <row r="36" spans="2:10" ht="24">
      <c r="B36" s="57"/>
      <c r="C36" s="56"/>
      <c r="D36" s="12"/>
      <c r="E36" s="12"/>
      <c r="F36" s="12"/>
      <c r="G36" s="12"/>
      <c r="H36" s="12"/>
      <c r="I36" s="12"/>
    </row>
    <row r="37" spans="2:10" ht="24">
      <c r="B37" s="57"/>
      <c r="C37" s="56"/>
      <c r="D37" s="12"/>
      <c r="E37" s="12"/>
      <c r="F37" s="12"/>
      <c r="G37" s="12"/>
      <c r="H37" s="12"/>
      <c r="I37" s="12"/>
    </row>
    <row r="38" spans="2:10" ht="24">
      <c r="B38" s="57"/>
      <c r="C38" s="56"/>
      <c r="D38" s="12"/>
      <c r="E38" s="12"/>
      <c r="F38" s="12"/>
      <c r="G38" s="12"/>
      <c r="H38" s="12"/>
      <c r="I38" s="54"/>
    </row>
    <row r="39" spans="2:10" s="11" customFormat="1" ht="20.25" customHeight="1">
      <c r="B39" s="57"/>
      <c r="C39" s="58"/>
      <c r="D39" s="12"/>
      <c r="E39" s="12"/>
      <c r="F39" s="12"/>
      <c r="G39" s="12"/>
      <c r="H39" s="12"/>
      <c r="I39" s="12"/>
      <c r="J39" s="18"/>
    </row>
    <row r="40" spans="2:10" s="11" customFormat="1" ht="20.25" customHeight="1">
      <c r="B40" s="57"/>
      <c r="C40" s="58"/>
      <c r="D40" s="12"/>
      <c r="E40" s="12"/>
      <c r="F40" s="12"/>
      <c r="G40" s="12"/>
      <c r="H40" s="12"/>
      <c r="I40" s="12"/>
    </row>
    <row r="41" spans="2:10" s="11" customFormat="1" ht="20.25" customHeight="1">
      <c r="B41" s="57"/>
      <c r="C41" s="58"/>
      <c r="D41" s="12"/>
      <c r="E41" s="12"/>
      <c r="F41" s="12"/>
      <c r="G41" s="12"/>
      <c r="H41" s="12"/>
      <c r="I41" s="12"/>
    </row>
    <row r="42" spans="2:10" s="11" customFormat="1" ht="20.25" customHeight="1">
      <c r="B42" s="57"/>
      <c r="C42" s="58"/>
      <c r="D42" s="12"/>
      <c r="E42" s="12"/>
      <c r="F42" s="12"/>
      <c r="G42" s="12"/>
      <c r="H42" s="12"/>
      <c r="I42" s="12"/>
    </row>
    <row r="43" spans="2:10" ht="24">
      <c r="B43" s="1"/>
      <c r="C43" s="1"/>
      <c r="D43" s="1"/>
      <c r="E43" s="1"/>
      <c r="F43" s="1"/>
      <c r="G43" s="12"/>
      <c r="H43" s="1"/>
      <c r="I43" s="12"/>
    </row>
    <row r="44" spans="2:10" ht="24">
      <c r="B44" s="12"/>
      <c r="C44" s="12"/>
      <c r="D44" s="12"/>
      <c r="E44" s="12"/>
      <c r="F44" s="12"/>
      <c r="G44" s="12"/>
      <c r="H44" s="12"/>
      <c r="I44" s="41"/>
    </row>
    <row r="45" spans="2:10" ht="24">
      <c r="B45" s="12"/>
      <c r="C45" s="12"/>
      <c r="D45" s="12"/>
      <c r="E45" s="12"/>
      <c r="F45" s="39"/>
      <c r="G45" s="39"/>
      <c r="H45" s="40"/>
      <c r="I45" s="39"/>
    </row>
  </sheetData>
  <mergeCells count="9">
    <mergeCell ref="E27:H27"/>
    <mergeCell ref="E29:H29"/>
    <mergeCell ref="E28:H28"/>
    <mergeCell ref="I2:J2"/>
    <mergeCell ref="B6:D6"/>
    <mergeCell ref="G15:G16"/>
    <mergeCell ref="H16:J16"/>
    <mergeCell ref="H17:J17"/>
    <mergeCell ref="B22:I23"/>
  </mergeCells>
  <phoneticPr fontId="7"/>
  <dataValidations count="1">
    <dataValidation allowBlank="1" showInputMessage="1" showErrorMessage="1" sqref="H2" xr:uid="{7E723CEA-AD2A-574B-9944-52E4A2EDB73C}"/>
  </dataValidations>
  <pageMargins left="0.7" right="0.7" top="0.75" bottom="0.75" header="0.3" footer="0.3"/>
  <pageSetup paperSize="9" scale="77" orientation="portrai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FFE8C-E845-A848-BBC0-8246707196AC}">
  <sheetPr>
    <tabColor theme="4"/>
    <pageSetUpPr fitToPage="1"/>
  </sheetPr>
  <dimension ref="B1:M45"/>
  <sheetViews>
    <sheetView topLeftCell="A16" zoomScaleNormal="100" workbookViewId="0">
      <selection activeCell="L33" sqref="L33"/>
    </sheetView>
  </sheetViews>
  <sheetFormatPr baseColWidth="10" defaultColWidth="8.83203125" defaultRowHeight="18"/>
  <cols>
    <col min="1" max="1" width="8.1640625" customWidth="1"/>
    <col min="2" max="2" width="4.33203125" customWidth="1"/>
    <col min="3" max="3" width="8.5" customWidth="1"/>
    <col min="4" max="4" width="17.1640625" customWidth="1"/>
    <col min="5" max="5" width="13.6640625" customWidth="1"/>
    <col min="6" max="6" width="17.1640625" customWidth="1"/>
    <col min="7" max="7" width="13.6640625" customWidth="1"/>
    <col min="8" max="8" width="17.1640625" customWidth="1"/>
    <col min="9" max="9" width="6.5" customWidth="1"/>
    <col min="10" max="10" width="6.6640625" customWidth="1"/>
    <col min="11" max="11" width="11.1640625" customWidth="1"/>
    <col min="12" max="12" width="6.6640625" customWidth="1"/>
    <col min="13" max="13" width="15.83203125" customWidth="1"/>
    <col min="14" max="14" width="17.6640625" customWidth="1"/>
    <col min="15" max="15" width="18.1640625" customWidth="1"/>
  </cols>
  <sheetData>
    <row r="1" spans="2:13">
      <c r="I1" s="10"/>
    </row>
    <row r="2" spans="2:13" ht="24">
      <c r="B2" s="1"/>
      <c r="G2" s="87"/>
      <c r="H2" s="88"/>
      <c r="I2" s="130"/>
      <c r="J2" s="130"/>
    </row>
    <row r="3" spans="2:13" ht="24" customHeight="1">
      <c r="B3" s="76"/>
      <c r="C3" s="76"/>
      <c r="D3" s="76"/>
      <c r="E3" s="76"/>
      <c r="G3" s="87"/>
      <c r="H3" s="88"/>
      <c r="I3" s="88"/>
    </row>
    <row r="4" spans="2:13" ht="18.75" customHeight="1">
      <c r="B4" s="76"/>
      <c r="C4" s="76"/>
      <c r="D4" s="76"/>
      <c r="E4" s="76"/>
    </row>
    <row r="5" spans="2:13" ht="24">
      <c r="B5" s="33"/>
      <c r="C5" s="33"/>
      <c r="D5" s="33"/>
    </row>
    <row r="6" spans="2:13" ht="45">
      <c r="B6" s="131"/>
      <c r="C6" s="131"/>
      <c r="D6" s="131"/>
      <c r="E6" s="1"/>
      <c r="F6" s="86" t="s">
        <v>137</v>
      </c>
    </row>
    <row r="7" spans="2:13" ht="24">
      <c r="B7" s="1" t="s">
        <v>20</v>
      </c>
      <c r="C7" s="12"/>
      <c r="D7" s="90">
        <v>3000007249</v>
      </c>
      <c r="E7" s="13"/>
    </row>
    <row r="8" spans="2:13" ht="24">
      <c r="B8" s="12" t="s">
        <v>21</v>
      </c>
      <c r="C8" s="12"/>
      <c r="D8" s="12" t="str">
        <f>受給者情報!G24</f>
        <v>吉田陽恵</v>
      </c>
      <c r="E8" t="s">
        <v>41</v>
      </c>
    </row>
    <row r="12" spans="2:13" ht="31">
      <c r="E12" s="52" t="s">
        <v>22</v>
      </c>
      <c r="F12" s="52"/>
      <c r="G12" s="52"/>
    </row>
    <row r="13" spans="2:13" ht="24">
      <c r="I13" s="14"/>
      <c r="M13" s="37"/>
    </row>
    <row r="14" spans="2:13">
      <c r="M14" s="37"/>
    </row>
    <row r="15" spans="2:13" ht="24" customHeight="1">
      <c r="G15" s="132" t="s">
        <v>23</v>
      </c>
      <c r="H15" s="49" t="s">
        <v>24</v>
      </c>
      <c r="I15" s="49"/>
      <c r="M15" s="37"/>
    </row>
    <row r="16" spans="2:13" ht="24" customHeight="1">
      <c r="G16" s="132"/>
      <c r="H16" s="133" t="s">
        <v>25</v>
      </c>
      <c r="I16" s="133"/>
      <c r="J16" s="133"/>
      <c r="M16" s="37"/>
    </row>
    <row r="17" spans="2:13" ht="40.5" customHeight="1">
      <c r="G17" s="50"/>
      <c r="H17" s="133" t="s">
        <v>27</v>
      </c>
      <c r="I17" s="133"/>
      <c r="J17" s="133"/>
      <c r="M17" s="37"/>
    </row>
    <row r="18" spans="2:13">
      <c r="G18" s="51" t="s">
        <v>28</v>
      </c>
      <c r="H18" s="51" t="str">
        <f>事業者情報!C5&amp;"　"&amp;事業者情報!C6</f>
        <v>代表取締役社長　澤田昌志</v>
      </c>
      <c r="M18" s="37"/>
    </row>
    <row r="19" spans="2:13">
      <c r="G19" s="51" t="s">
        <v>29</v>
      </c>
      <c r="H19" s="51" t="str">
        <f>事業者情報!C7&amp;""</f>
        <v>0566-63-6817</v>
      </c>
      <c r="M19" s="37"/>
    </row>
    <row r="20" spans="2:13">
      <c r="G20" s="51" t="s">
        <v>30</v>
      </c>
      <c r="H20" s="51" t="str">
        <f>事業者情報!C8&amp;""</f>
        <v>0566-63-6818</v>
      </c>
      <c r="M20" s="37"/>
    </row>
    <row r="21" spans="2:13">
      <c r="M21" s="37"/>
    </row>
    <row r="22" spans="2:13" ht="24" customHeight="1">
      <c r="B22" s="134" t="s">
        <v>135</v>
      </c>
      <c r="C22" s="134"/>
      <c r="D22" s="134"/>
      <c r="E22" s="134"/>
      <c r="F22" s="134"/>
      <c r="G22" s="134"/>
      <c r="H22" s="134"/>
      <c r="I22" s="134"/>
      <c r="M22" s="37"/>
    </row>
    <row r="23" spans="2:13" ht="24" customHeight="1">
      <c r="B23" s="134"/>
      <c r="C23" s="134"/>
      <c r="D23" s="134"/>
      <c r="E23" s="134"/>
      <c r="F23" s="134"/>
      <c r="G23" s="134"/>
      <c r="H23" s="134"/>
      <c r="I23" s="134"/>
      <c r="M23" s="37"/>
    </row>
    <row r="25" spans="2:13" ht="27">
      <c r="C25" s="98">
        <v>10</v>
      </c>
      <c r="D25" s="98" t="s">
        <v>173</v>
      </c>
      <c r="E25" s="71" t="s">
        <v>32</v>
      </c>
      <c r="F25" s="72">
        <f>H34</f>
        <v>0</v>
      </c>
      <c r="G25" s="16" t="s">
        <v>33</v>
      </c>
    </row>
    <row r="27" spans="2:13" ht="24.75" customHeight="1">
      <c r="B27" s="55"/>
      <c r="C27" s="56"/>
      <c r="D27" s="64" t="s">
        <v>42</v>
      </c>
      <c r="E27" s="136" t="s">
        <v>133</v>
      </c>
      <c r="F27" s="124"/>
      <c r="G27" s="124"/>
      <c r="H27" s="125"/>
      <c r="I27" s="12"/>
    </row>
    <row r="28" spans="2:13" ht="24.75" customHeight="1">
      <c r="B28" s="55"/>
      <c r="C28" s="56"/>
      <c r="D28" s="60" t="s">
        <v>139</v>
      </c>
      <c r="E28" s="135" t="s">
        <v>104</v>
      </c>
      <c r="F28" s="124"/>
      <c r="G28" s="124"/>
      <c r="H28" s="125"/>
      <c r="I28" s="12"/>
    </row>
    <row r="29" spans="2:13" ht="24.75" customHeight="1">
      <c r="B29" s="57"/>
      <c r="C29" s="56"/>
      <c r="D29" s="60" t="s">
        <v>43</v>
      </c>
      <c r="E29" s="126">
        <v>46010</v>
      </c>
      <c r="F29" s="124"/>
      <c r="G29" s="124"/>
      <c r="H29" s="125"/>
      <c r="I29" s="53"/>
    </row>
    <row r="30" spans="2:13" ht="24.75" customHeight="1">
      <c r="B30" s="57"/>
      <c r="C30" s="56"/>
      <c r="D30" s="65" t="s">
        <v>44</v>
      </c>
      <c r="E30" s="61"/>
      <c r="F30" s="67"/>
      <c r="G30" s="45"/>
      <c r="H30" s="104"/>
      <c r="I30" s="73" t="s">
        <v>45</v>
      </c>
    </row>
    <row r="31" spans="2:13" ht="24.75" customHeight="1">
      <c r="B31" s="57"/>
      <c r="C31" s="56"/>
      <c r="D31" s="62" t="s">
        <v>46</v>
      </c>
      <c r="E31" s="68" t="s">
        <v>35</v>
      </c>
      <c r="F31" s="67"/>
      <c r="G31" s="45"/>
      <c r="H31" s="101">
        <f>H30</f>
        <v>0</v>
      </c>
      <c r="I31" s="74" t="s">
        <v>40</v>
      </c>
    </row>
    <row r="32" spans="2:13" ht="24.75" customHeight="1">
      <c r="B32" s="57"/>
      <c r="C32" s="56"/>
      <c r="D32" s="62"/>
      <c r="E32" s="68" t="s">
        <v>36</v>
      </c>
      <c r="F32" s="67"/>
      <c r="G32" s="45"/>
      <c r="H32" s="102">
        <v>0</v>
      </c>
      <c r="I32" s="74" t="s">
        <v>40</v>
      </c>
    </row>
    <row r="33" spans="2:10" ht="24.75" customHeight="1">
      <c r="B33" s="57"/>
      <c r="C33" s="56"/>
      <c r="D33" s="62"/>
      <c r="E33" s="66" t="s">
        <v>37</v>
      </c>
      <c r="F33" s="69"/>
      <c r="G33" s="43"/>
      <c r="H33" s="103">
        <v>0</v>
      </c>
      <c r="I33" s="74" t="s">
        <v>40</v>
      </c>
    </row>
    <row r="34" spans="2:10" ht="24">
      <c r="B34" s="57"/>
      <c r="C34" s="56"/>
      <c r="D34" s="42"/>
      <c r="E34" s="38"/>
      <c r="F34" s="38"/>
      <c r="G34" s="63" t="s">
        <v>47</v>
      </c>
      <c r="H34" s="96">
        <f>SUM(H31-H32+H33)</f>
        <v>0</v>
      </c>
      <c r="I34" s="74" t="s">
        <v>40</v>
      </c>
    </row>
    <row r="35" spans="2:10" ht="24">
      <c r="B35" s="57"/>
      <c r="C35" s="56"/>
      <c r="D35" s="12"/>
      <c r="E35" s="12"/>
      <c r="F35" s="12"/>
      <c r="G35" s="12"/>
      <c r="H35" s="12"/>
      <c r="I35" s="53"/>
    </row>
    <row r="36" spans="2:10" ht="24">
      <c r="B36" s="57"/>
      <c r="C36" s="56"/>
      <c r="D36" s="12"/>
      <c r="E36" s="12"/>
      <c r="F36" s="12"/>
      <c r="G36" s="12"/>
      <c r="H36" s="12"/>
      <c r="I36" s="12"/>
    </row>
    <row r="37" spans="2:10" ht="24">
      <c r="B37" s="57"/>
      <c r="C37" s="56"/>
      <c r="D37" s="12"/>
      <c r="E37" s="12"/>
      <c r="F37" s="12"/>
      <c r="G37" s="12"/>
      <c r="H37" s="12"/>
      <c r="I37" s="12"/>
    </row>
    <row r="38" spans="2:10" ht="24">
      <c r="B38" s="57"/>
      <c r="C38" s="56"/>
      <c r="D38" s="12"/>
      <c r="E38" s="12"/>
      <c r="F38" s="12"/>
      <c r="G38" s="12"/>
      <c r="H38" s="12"/>
      <c r="I38" s="54"/>
    </row>
    <row r="39" spans="2:10" s="11" customFormat="1" ht="20.25" customHeight="1">
      <c r="B39" s="57"/>
      <c r="C39" s="58"/>
      <c r="D39" s="12"/>
      <c r="E39" s="12"/>
      <c r="F39" s="12"/>
      <c r="G39" s="12"/>
      <c r="H39" s="12"/>
      <c r="I39" s="12"/>
      <c r="J39" s="18"/>
    </row>
    <row r="40" spans="2:10" s="11" customFormat="1" ht="20.25" customHeight="1">
      <c r="B40" s="57"/>
      <c r="C40" s="58"/>
      <c r="D40" s="12"/>
      <c r="E40" s="12"/>
      <c r="F40" s="12"/>
      <c r="G40" s="12"/>
      <c r="H40" s="12"/>
      <c r="I40" s="12"/>
    </row>
    <row r="41" spans="2:10" s="11" customFormat="1" ht="20.25" customHeight="1">
      <c r="B41" s="57"/>
      <c r="C41" s="58"/>
      <c r="D41" s="12"/>
      <c r="E41" s="12"/>
      <c r="F41" s="12"/>
      <c r="G41" s="12"/>
      <c r="H41" s="12"/>
      <c r="I41" s="12"/>
    </row>
    <row r="42" spans="2:10" s="11" customFormat="1" ht="20.25" customHeight="1">
      <c r="B42" s="57"/>
      <c r="C42" s="58"/>
      <c r="D42" s="12"/>
      <c r="E42" s="12"/>
      <c r="F42" s="12"/>
      <c r="G42" s="12"/>
      <c r="H42" s="12"/>
      <c r="I42" s="12"/>
    </row>
    <row r="43" spans="2:10" ht="24">
      <c r="B43" s="1"/>
      <c r="C43" s="1"/>
      <c r="D43" s="1"/>
      <c r="E43" s="1"/>
      <c r="F43" s="1"/>
      <c r="G43" s="12"/>
      <c r="H43" s="1"/>
      <c r="I43" s="12"/>
    </row>
    <row r="44" spans="2:10" ht="24">
      <c r="B44" s="12"/>
      <c r="C44" s="12"/>
      <c r="D44" s="12"/>
      <c r="E44" s="12"/>
      <c r="F44" s="12"/>
      <c r="G44" s="12"/>
      <c r="H44" s="12"/>
      <c r="I44" s="41"/>
    </row>
    <row r="45" spans="2:10" ht="24">
      <c r="B45" s="12"/>
      <c r="C45" s="12"/>
      <c r="D45" s="12"/>
      <c r="E45" s="12"/>
      <c r="F45" s="39"/>
      <c r="G45" s="39"/>
      <c r="H45" s="40"/>
      <c r="I45" s="39"/>
    </row>
  </sheetData>
  <mergeCells count="9">
    <mergeCell ref="E27:H27"/>
    <mergeCell ref="E29:H29"/>
    <mergeCell ref="E28:H28"/>
    <mergeCell ref="I2:J2"/>
    <mergeCell ref="B6:D6"/>
    <mergeCell ref="G15:G16"/>
    <mergeCell ref="H16:J16"/>
    <mergeCell ref="H17:J17"/>
    <mergeCell ref="B22:I23"/>
  </mergeCells>
  <phoneticPr fontId="7"/>
  <dataValidations count="1">
    <dataValidation allowBlank="1" showInputMessage="1" showErrorMessage="1" sqref="H2" xr:uid="{3781EBC2-DB9B-EC42-A55F-6EAA68AE8863}"/>
  </dataValidations>
  <pageMargins left="0.7" right="0.7" top="0.75" bottom="0.75" header="0.3" footer="0.3"/>
  <pageSetup paperSize="9" scale="71"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8C6BD-E5B4-8E43-A3BD-FCD26C78277B}">
  <sheetPr>
    <tabColor theme="4"/>
    <pageSetUpPr fitToPage="1"/>
  </sheetPr>
  <dimension ref="B1:M45"/>
  <sheetViews>
    <sheetView topLeftCell="A17" zoomScaleNormal="100" workbookViewId="0">
      <selection activeCell="L33" sqref="L33"/>
    </sheetView>
  </sheetViews>
  <sheetFormatPr baseColWidth="10" defaultColWidth="8.83203125" defaultRowHeight="18"/>
  <cols>
    <col min="1" max="1" width="8.1640625" customWidth="1"/>
    <col min="2" max="2" width="4.33203125" customWidth="1"/>
    <col min="3" max="3" width="8.5" customWidth="1"/>
    <col min="4" max="4" width="17.1640625" customWidth="1"/>
    <col min="5" max="5" width="13.6640625" customWidth="1"/>
    <col min="6" max="6" width="17.1640625" customWidth="1"/>
    <col min="7" max="7" width="13.6640625" customWidth="1"/>
    <col min="8" max="8" width="17.1640625" customWidth="1"/>
    <col min="9" max="9" width="6.5" customWidth="1"/>
    <col min="10" max="10" width="6.6640625" customWidth="1"/>
    <col min="11" max="11" width="11.1640625" customWidth="1"/>
    <col min="12" max="12" width="6.6640625" customWidth="1"/>
    <col min="13" max="13" width="15.83203125" customWidth="1"/>
    <col min="14" max="14" width="17.6640625" customWidth="1"/>
    <col min="15" max="15" width="18.1640625" customWidth="1"/>
  </cols>
  <sheetData>
    <row r="1" spans="2:13">
      <c r="I1" s="10"/>
    </row>
    <row r="2" spans="2:13" ht="24">
      <c r="B2" s="1"/>
      <c r="G2" s="87"/>
      <c r="H2" s="88"/>
      <c r="I2" s="130"/>
      <c r="J2" s="130"/>
    </row>
    <row r="3" spans="2:13" ht="24" customHeight="1">
      <c r="B3" s="76"/>
      <c r="C3" s="76"/>
      <c r="D3" s="76"/>
      <c r="E3" s="76"/>
      <c r="G3" s="87"/>
      <c r="H3" s="88"/>
      <c r="I3" s="88"/>
    </row>
    <row r="4" spans="2:13" ht="18.75" customHeight="1">
      <c r="B4" s="76"/>
      <c r="C4" s="76"/>
      <c r="D4" s="76"/>
      <c r="E4" s="76"/>
    </row>
    <row r="5" spans="2:13" ht="24">
      <c r="B5" s="33"/>
      <c r="C5" s="33"/>
      <c r="D5" s="33"/>
    </row>
    <row r="6" spans="2:13" ht="45">
      <c r="B6" s="131"/>
      <c r="C6" s="131"/>
      <c r="D6" s="131"/>
      <c r="E6" s="1"/>
      <c r="F6" s="86" t="s">
        <v>137</v>
      </c>
    </row>
    <row r="7" spans="2:13" ht="24">
      <c r="B7" s="1" t="s">
        <v>20</v>
      </c>
      <c r="C7" s="12"/>
      <c r="D7" s="92">
        <v>3807311</v>
      </c>
      <c r="E7" s="13"/>
    </row>
    <row r="8" spans="2:13" ht="24">
      <c r="B8" s="12" t="s">
        <v>21</v>
      </c>
      <c r="C8" s="12"/>
      <c r="D8" s="12" t="str">
        <f>受給者情報!G25</f>
        <v>猿子遼</v>
      </c>
      <c r="E8" t="s">
        <v>41</v>
      </c>
    </row>
    <row r="12" spans="2:13" ht="31">
      <c r="E12" s="52" t="s">
        <v>22</v>
      </c>
      <c r="F12" s="52"/>
      <c r="G12" s="52"/>
    </row>
    <row r="13" spans="2:13" ht="24">
      <c r="I13" s="14"/>
      <c r="M13" s="37"/>
    </row>
    <row r="14" spans="2:13">
      <c r="M14" s="37"/>
    </row>
    <row r="15" spans="2:13" ht="24" customHeight="1">
      <c r="G15" s="132" t="s">
        <v>23</v>
      </c>
      <c r="H15" s="49" t="s">
        <v>24</v>
      </c>
      <c r="I15" s="49"/>
      <c r="M15" s="37"/>
    </row>
    <row r="16" spans="2:13" ht="24" customHeight="1">
      <c r="G16" s="132"/>
      <c r="H16" s="133" t="s">
        <v>25</v>
      </c>
      <c r="I16" s="133"/>
      <c r="J16" s="133"/>
      <c r="M16" s="37"/>
    </row>
    <row r="17" spans="2:13" ht="40.5" customHeight="1">
      <c r="G17" s="50"/>
      <c r="H17" s="133" t="s">
        <v>27</v>
      </c>
      <c r="I17" s="133"/>
      <c r="J17" s="133"/>
      <c r="M17" s="37"/>
    </row>
    <row r="18" spans="2:13">
      <c r="G18" s="51" t="s">
        <v>28</v>
      </c>
      <c r="H18" s="51" t="str">
        <f>事業者情報!C5&amp;"　"&amp;事業者情報!C6</f>
        <v>代表取締役社長　澤田昌志</v>
      </c>
      <c r="M18" s="37"/>
    </row>
    <row r="19" spans="2:13">
      <c r="G19" s="51" t="s">
        <v>29</v>
      </c>
      <c r="H19" s="51" t="str">
        <f>事業者情報!C7&amp;""</f>
        <v>0566-63-6817</v>
      </c>
      <c r="M19" s="37"/>
    </row>
    <row r="20" spans="2:13">
      <c r="G20" s="51" t="s">
        <v>30</v>
      </c>
      <c r="H20" s="51" t="str">
        <f>事業者情報!C8&amp;""</f>
        <v>0566-63-6818</v>
      </c>
      <c r="M20" s="37"/>
    </row>
    <row r="21" spans="2:13">
      <c r="M21" s="37"/>
    </row>
    <row r="22" spans="2:13" ht="24" customHeight="1">
      <c r="B22" s="134" t="s">
        <v>135</v>
      </c>
      <c r="C22" s="134"/>
      <c r="D22" s="134"/>
      <c r="E22" s="134"/>
      <c r="F22" s="134"/>
      <c r="G22" s="134"/>
      <c r="H22" s="134"/>
      <c r="I22" s="134"/>
      <c r="M22" s="37"/>
    </row>
    <row r="23" spans="2:13" ht="24" customHeight="1">
      <c r="B23" s="134"/>
      <c r="C23" s="134"/>
      <c r="D23" s="134"/>
      <c r="E23" s="134"/>
      <c r="F23" s="134"/>
      <c r="G23" s="134"/>
      <c r="H23" s="134"/>
      <c r="I23" s="134"/>
      <c r="M23" s="37"/>
    </row>
    <row r="25" spans="2:13" ht="27">
      <c r="C25" s="98">
        <v>10</v>
      </c>
      <c r="D25" s="98" t="s">
        <v>173</v>
      </c>
      <c r="E25" s="71" t="s">
        <v>32</v>
      </c>
      <c r="F25" s="72">
        <f>H34</f>
        <v>0</v>
      </c>
      <c r="G25" s="16" t="s">
        <v>33</v>
      </c>
    </row>
    <row r="27" spans="2:13" ht="24.75" customHeight="1">
      <c r="B27" s="55"/>
      <c r="C27" s="56"/>
      <c r="D27" s="64" t="s">
        <v>42</v>
      </c>
      <c r="E27" s="136" t="s">
        <v>142</v>
      </c>
      <c r="F27" s="124"/>
      <c r="G27" s="124"/>
      <c r="H27" s="125"/>
      <c r="I27" s="12"/>
    </row>
    <row r="28" spans="2:13" ht="24.75" customHeight="1">
      <c r="B28" s="55"/>
      <c r="C28" s="56"/>
      <c r="D28" s="60" t="s">
        <v>139</v>
      </c>
      <c r="E28" s="135" t="s">
        <v>104</v>
      </c>
      <c r="F28" s="124"/>
      <c r="G28" s="124"/>
      <c r="H28" s="125"/>
      <c r="I28" s="12"/>
    </row>
    <row r="29" spans="2:13" ht="24.75" customHeight="1">
      <c r="B29" s="57"/>
      <c r="C29" s="56"/>
      <c r="D29" s="60" t="s">
        <v>43</v>
      </c>
      <c r="E29" s="126">
        <v>46010</v>
      </c>
      <c r="F29" s="124"/>
      <c r="G29" s="124"/>
      <c r="H29" s="125"/>
      <c r="I29" s="53"/>
    </row>
    <row r="30" spans="2:13" ht="24.75" customHeight="1">
      <c r="B30" s="57"/>
      <c r="C30" s="56"/>
      <c r="D30" s="65" t="s">
        <v>44</v>
      </c>
      <c r="E30" s="61"/>
      <c r="F30" s="67"/>
      <c r="G30" s="45"/>
      <c r="H30" s="104"/>
      <c r="I30" s="73" t="s">
        <v>45</v>
      </c>
    </row>
    <row r="31" spans="2:13" ht="24.75" customHeight="1">
      <c r="B31" s="57"/>
      <c r="C31" s="56"/>
      <c r="D31" s="62" t="s">
        <v>46</v>
      </c>
      <c r="E31" s="68" t="s">
        <v>35</v>
      </c>
      <c r="F31" s="67"/>
      <c r="G31" s="45"/>
      <c r="H31" s="101">
        <f>H30</f>
        <v>0</v>
      </c>
      <c r="I31" s="74" t="s">
        <v>40</v>
      </c>
    </row>
    <row r="32" spans="2:13" ht="24.75" customHeight="1">
      <c r="B32" s="57"/>
      <c r="C32" s="56"/>
      <c r="D32" s="62"/>
      <c r="E32" s="68" t="s">
        <v>36</v>
      </c>
      <c r="F32" s="67"/>
      <c r="G32" s="45"/>
      <c r="H32" s="102">
        <v>0</v>
      </c>
      <c r="I32" s="74" t="s">
        <v>40</v>
      </c>
    </row>
    <row r="33" spans="2:10" ht="24.75" customHeight="1">
      <c r="B33" s="57"/>
      <c r="C33" s="56"/>
      <c r="D33" s="62"/>
      <c r="E33" s="66" t="s">
        <v>37</v>
      </c>
      <c r="F33" s="69"/>
      <c r="G33" s="43"/>
      <c r="H33" s="103">
        <v>0</v>
      </c>
      <c r="I33" s="74" t="s">
        <v>40</v>
      </c>
    </row>
    <row r="34" spans="2:10" ht="24">
      <c r="B34" s="57"/>
      <c r="C34" s="56"/>
      <c r="D34" s="42"/>
      <c r="E34" s="38"/>
      <c r="F34" s="38"/>
      <c r="G34" s="63" t="s">
        <v>47</v>
      </c>
      <c r="H34" s="96">
        <f>SUM(H31-H32+H33)</f>
        <v>0</v>
      </c>
      <c r="I34" s="74" t="s">
        <v>40</v>
      </c>
    </row>
    <row r="35" spans="2:10" ht="24">
      <c r="B35" s="57"/>
      <c r="C35" s="56"/>
      <c r="D35" s="12"/>
      <c r="E35" s="12"/>
      <c r="F35" s="12"/>
      <c r="G35" s="12"/>
      <c r="H35" s="105"/>
      <c r="I35" s="53"/>
    </row>
    <row r="36" spans="2:10" ht="24">
      <c r="B36" s="57"/>
      <c r="C36" s="56"/>
      <c r="D36" s="12"/>
      <c r="E36" s="12"/>
      <c r="F36" s="12"/>
      <c r="G36" s="12"/>
      <c r="H36" s="105"/>
      <c r="I36" s="12"/>
    </row>
    <row r="37" spans="2:10" ht="24">
      <c r="B37" s="57"/>
      <c r="C37" s="56"/>
      <c r="D37" s="12"/>
      <c r="E37" s="12"/>
      <c r="F37" s="12"/>
      <c r="G37" s="12"/>
      <c r="H37" s="12"/>
      <c r="I37" s="12"/>
    </row>
    <row r="38" spans="2:10" ht="24">
      <c r="B38" s="57"/>
      <c r="C38" s="56"/>
      <c r="D38" s="12"/>
      <c r="E38" s="12"/>
      <c r="F38" s="12"/>
      <c r="G38" s="12"/>
      <c r="H38" s="12"/>
      <c r="I38" s="54"/>
    </row>
    <row r="39" spans="2:10" s="11" customFormat="1" ht="20.25" customHeight="1">
      <c r="B39" s="57"/>
      <c r="C39" s="58"/>
      <c r="D39" s="12"/>
      <c r="E39" s="12"/>
      <c r="F39" s="12"/>
      <c r="G39" s="12"/>
      <c r="H39" s="12"/>
      <c r="I39" s="12"/>
      <c r="J39" s="18"/>
    </row>
    <row r="40" spans="2:10" s="11" customFormat="1" ht="20.25" customHeight="1">
      <c r="B40" s="57"/>
      <c r="C40" s="58"/>
      <c r="D40" s="12"/>
      <c r="E40" s="12"/>
      <c r="F40" s="12"/>
      <c r="G40" s="12"/>
      <c r="H40" s="12"/>
      <c r="I40" s="12"/>
    </row>
    <row r="41" spans="2:10" s="11" customFormat="1" ht="20.25" customHeight="1">
      <c r="B41" s="57"/>
      <c r="C41" s="58"/>
      <c r="D41" s="12"/>
      <c r="E41" s="12"/>
      <c r="F41" s="12"/>
      <c r="G41" s="12"/>
      <c r="H41" s="12"/>
      <c r="I41" s="12"/>
    </row>
    <row r="42" spans="2:10" s="11" customFormat="1" ht="20.25" customHeight="1">
      <c r="B42" s="57"/>
      <c r="C42" s="58"/>
      <c r="D42" s="12"/>
      <c r="E42" s="12"/>
      <c r="F42" s="12"/>
      <c r="G42" s="12"/>
      <c r="H42" s="12"/>
      <c r="I42" s="12"/>
    </row>
    <row r="43" spans="2:10" ht="24">
      <c r="B43" s="1"/>
      <c r="C43" s="1"/>
      <c r="D43" s="1"/>
      <c r="E43" s="1"/>
      <c r="F43" s="1"/>
      <c r="G43" s="12"/>
      <c r="H43" s="1"/>
      <c r="I43" s="12"/>
    </row>
    <row r="44" spans="2:10" ht="24">
      <c r="B44" s="12"/>
      <c r="C44" s="12"/>
      <c r="D44" s="12"/>
      <c r="E44" s="12"/>
      <c r="F44" s="12"/>
      <c r="G44" s="12"/>
      <c r="H44" s="12"/>
      <c r="I44" s="41"/>
    </row>
    <row r="45" spans="2:10" ht="24">
      <c r="B45" s="12"/>
      <c r="C45" s="12"/>
      <c r="D45" s="12"/>
      <c r="E45" s="12"/>
      <c r="F45" s="39"/>
      <c r="G45" s="39"/>
      <c r="H45" s="40"/>
      <c r="I45" s="39"/>
    </row>
  </sheetData>
  <mergeCells count="9">
    <mergeCell ref="E27:H27"/>
    <mergeCell ref="E29:H29"/>
    <mergeCell ref="E28:H28"/>
    <mergeCell ref="I2:J2"/>
    <mergeCell ref="B6:D6"/>
    <mergeCell ref="G15:G16"/>
    <mergeCell ref="H16:J16"/>
    <mergeCell ref="H17:J17"/>
    <mergeCell ref="B22:I23"/>
  </mergeCells>
  <phoneticPr fontId="7"/>
  <dataValidations count="1">
    <dataValidation allowBlank="1" showInputMessage="1" showErrorMessage="1" sqref="H2" xr:uid="{2BD6DE77-FCBE-4443-B92C-668EC55C21F9}"/>
  </dataValidations>
  <pageMargins left="0.7" right="0.7" top="0.75" bottom="0.75" header="0.3" footer="0.3"/>
  <pageSetup paperSize="9" scale="77"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56DC3-530F-B14B-A54D-005A6D996969}">
  <sheetPr>
    <tabColor theme="4"/>
    <pageSetUpPr fitToPage="1"/>
  </sheetPr>
  <dimension ref="B1:M45"/>
  <sheetViews>
    <sheetView topLeftCell="A4" zoomScaleNormal="100" workbookViewId="0">
      <selection activeCell="L33" sqref="L33"/>
    </sheetView>
  </sheetViews>
  <sheetFormatPr baseColWidth="10" defaultColWidth="8.83203125" defaultRowHeight="18"/>
  <cols>
    <col min="1" max="1" width="8.1640625" customWidth="1"/>
    <col min="2" max="2" width="4.33203125" customWidth="1"/>
    <col min="3" max="3" width="8.5" customWidth="1"/>
    <col min="4" max="4" width="17.1640625" customWidth="1"/>
    <col min="5" max="5" width="13.6640625" customWidth="1"/>
    <col min="6" max="6" width="17.1640625" customWidth="1"/>
    <col min="7" max="7" width="13.6640625" customWidth="1"/>
    <col min="8" max="8" width="17.1640625" customWidth="1"/>
    <col min="9" max="9" width="6.5" customWidth="1"/>
    <col min="10" max="10" width="6.6640625" customWidth="1"/>
    <col min="11" max="11" width="11.1640625" customWidth="1"/>
    <col min="12" max="12" width="6.6640625" customWidth="1"/>
    <col min="13" max="13" width="15.83203125" customWidth="1"/>
    <col min="14" max="14" width="17.6640625" customWidth="1"/>
    <col min="15" max="15" width="18.1640625" customWidth="1"/>
  </cols>
  <sheetData>
    <row r="1" spans="2:13">
      <c r="I1" s="10"/>
    </row>
    <row r="2" spans="2:13" ht="24">
      <c r="B2" s="1"/>
      <c r="G2" s="87"/>
      <c r="H2" s="88"/>
      <c r="I2" s="130"/>
      <c r="J2" s="130"/>
    </row>
    <row r="3" spans="2:13" ht="24" customHeight="1">
      <c r="B3" s="76"/>
      <c r="C3" s="76"/>
      <c r="D3" s="76"/>
      <c r="E3" s="76"/>
      <c r="G3" s="87"/>
      <c r="H3" s="88"/>
      <c r="I3" s="88"/>
    </row>
    <row r="4" spans="2:13" ht="18.75" customHeight="1">
      <c r="B4" s="76"/>
      <c r="C4" s="76"/>
      <c r="D4" s="76"/>
      <c r="E4" s="76"/>
    </row>
    <row r="5" spans="2:13" ht="24">
      <c r="B5" s="33"/>
      <c r="C5" s="33"/>
      <c r="D5" s="33"/>
    </row>
    <row r="6" spans="2:13" ht="45">
      <c r="B6" s="131"/>
      <c r="C6" s="131"/>
      <c r="D6" s="131"/>
      <c r="E6" s="1"/>
      <c r="F6" s="86" t="s">
        <v>137</v>
      </c>
    </row>
    <row r="7" spans="2:13" ht="24">
      <c r="B7" s="1" t="s">
        <v>20</v>
      </c>
      <c r="C7" s="12"/>
      <c r="D7" s="90">
        <v>3000023410</v>
      </c>
      <c r="E7" s="13"/>
    </row>
    <row r="8" spans="2:13" ht="24">
      <c r="B8" s="12" t="s">
        <v>21</v>
      </c>
      <c r="C8" s="12"/>
      <c r="D8" s="12" t="str">
        <f>受給者情報!G26</f>
        <v>酒井花純</v>
      </c>
      <c r="E8" t="s">
        <v>41</v>
      </c>
    </row>
    <row r="12" spans="2:13" ht="31">
      <c r="E12" s="52" t="s">
        <v>22</v>
      </c>
      <c r="F12" s="52"/>
      <c r="G12" s="52"/>
    </row>
    <row r="13" spans="2:13" ht="24">
      <c r="I13" s="14"/>
      <c r="M13" s="37"/>
    </row>
    <row r="14" spans="2:13">
      <c r="M14" s="37"/>
    </row>
    <row r="15" spans="2:13" ht="24" customHeight="1">
      <c r="G15" s="132" t="s">
        <v>23</v>
      </c>
      <c r="H15" s="49" t="s">
        <v>24</v>
      </c>
      <c r="I15" s="49"/>
      <c r="M15" s="37"/>
    </row>
    <row r="16" spans="2:13" ht="24" customHeight="1">
      <c r="G16" s="132"/>
      <c r="H16" s="133" t="s">
        <v>25</v>
      </c>
      <c r="I16" s="133"/>
      <c r="J16" s="133"/>
      <c r="M16" s="37"/>
    </row>
    <row r="17" spans="2:13" ht="40.5" customHeight="1">
      <c r="G17" s="50"/>
      <c r="H17" s="133" t="s">
        <v>27</v>
      </c>
      <c r="I17" s="133"/>
      <c r="J17" s="133"/>
      <c r="M17" s="37"/>
    </row>
    <row r="18" spans="2:13">
      <c r="G18" s="51" t="s">
        <v>28</v>
      </c>
      <c r="H18" s="51" t="str">
        <f>事業者情報!C5&amp;"　"&amp;事業者情報!C6</f>
        <v>代表取締役社長　澤田昌志</v>
      </c>
      <c r="M18" s="37"/>
    </row>
    <row r="19" spans="2:13">
      <c r="G19" s="51" t="s">
        <v>29</v>
      </c>
      <c r="H19" s="51" t="str">
        <f>事業者情報!C7&amp;""</f>
        <v>0566-63-6817</v>
      </c>
      <c r="M19" s="37"/>
    </row>
    <row r="20" spans="2:13">
      <c r="G20" s="51" t="s">
        <v>30</v>
      </c>
      <c r="H20" s="51" t="str">
        <f>事業者情報!C8&amp;""</f>
        <v>0566-63-6818</v>
      </c>
      <c r="M20" s="37"/>
    </row>
    <row r="21" spans="2:13">
      <c r="M21" s="37"/>
    </row>
    <row r="22" spans="2:13" ht="24" customHeight="1">
      <c r="B22" s="134" t="s">
        <v>135</v>
      </c>
      <c r="C22" s="134"/>
      <c r="D22" s="134"/>
      <c r="E22" s="134"/>
      <c r="F22" s="134"/>
      <c r="G22" s="134"/>
      <c r="H22" s="134"/>
      <c r="I22" s="134"/>
      <c r="M22" s="37"/>
    </row>
    <row r="23" spans="2:13" ht="24" customHeight="1">
      <c r="B23" s="134"/>
      <c r="C23" s="134"/>
      <c r="D23" s="134"/>
      <c r="E23" s="134"/>
      <c r="F23" s="134"/>
      <c r="G23" s="134"/>
      <c r="H23" s="134"/>
      <c r="I23" s="134"/>
      <c r="M23" s="37"/>
    </row>
    <row r="25" spans="2:13" ht="27">
      <c r="C25" s="98">
        <v>10</v>
      </c>
      <c r="D25" s="98" t="s">
        <v>173</v>
      </c>
      <c r="E25" s="71" t="s">
        <v>32</v>
      </c>
      <c r="F25" s="72">
        <f>H34</f>
        <v>0</v>
      </c>
      <c r="G25" s="16" t="s">
        <v>33</v>
      </c>
    </row>
    <row r="27" spans="2:13" ht="24.75" customHeight="1">
      <c r="B27" s="55"/>
      <c r="C27" s="56"/>
      <c r="D27" s="64" t="s">
        <v>42</v>
      </c>
      <c r="E27" s="136" t="s">
        <v>170</v>
      </c>
      <c r="F27" s="124"/>
      <c r="G27" s="124"/>
      <c r="H27" s="125"/>
      <c r="I27" s="12"/>
    </row>
    <row r="28" spans="2:13" ht="24.75" customHeight="1">
      <c r="B28" s="55"/>
      <c r="C28" s="56"/>
      <c r="D28" s="60" t="s">
        <v>139</v>
      </c>
      <c r="E28" s="135" t="s">
        <v>104</v>
      </c>
      <c r="F28" s="124"/>
      <c r="G28" s="124"/>
      <c r="H28" s="125"/>
      <c r="I28" s="12"/>
    </row>
    <row r="29" spans="2:13" ht="24.75" customHeight="1">
      <c r="B29" s="57"/>
      <c r="C29" s="56"/>
      <c r="D29" s="60" t="s">
        <v>43</v>
      </c>
      <c r="E29" s="126">
        <v>46010</v>
      </c>
      <c r="F29" s="124"/>
      <c r="G29" s="124"/>
      <c r="H29" s="125"/>
      <c r="I29" s="53"/>
    </row>
    <row r="30" spans="2:13" ht="24.75" customHeight="1">
      <c r="B30" s="57"/>
      <c r="C30" s="56"/>
      <c r="D30" s="65" t="s">
        <v>44</v>
      </c>
      <c r="E30" s="61"/>
      <c r="F30" s="67"/>
      <c r="G30" s="45"/>
      <c r="H30" s="46"/>
      <c r="I30" s="73" t="s">
        <v>45</v>
      </c>
    </row>
    <row r="31" spans="2:13" ht="24.75" customHeight="1">
      <c r="B31" s="57"/>
      <c r="C31" s="56"/>
      <c r="D31" s="62" t="s">
        <v>46</v>
      </c>
      <c r="E31" s="68" t="s">
        <v>35</v>
      </c>
      <c r="F31" s="67"/>
      <c r="G31" s="45"/>
      <c r="H31" s="44">
        <f>H30</f>
        <v>0</v>
      </c>
      <c r="I31" s="74" t="s">
        <v>40</v>
      </c>
    </row>
    <row r="32" spans="2:13" ht="24.75" customHeight="1">
      <c r="B32" s="57"/>
      <c r="C32" s="56"/>
      <c r="D32" s="62"/>
      <c r="E32" s="68" t="s">
        <v>36</v>
      </c>
      <c r="F32" s="67"/>
      <c r="G32" s="45"/>
      <c r="H32" s="45">
        <v>0</v>
      </c>
      <c r="I32" s="74" t="s">
        <v>40</v>
      </c>
    </row>
    <row r="33" spans="2:10" ht="24.75" customHeight="1">
      <c r="B33" s="57"/>
      <c r="C33" s="56"/>
      <c r="D33" s="62"/>
      <c r="E33" s="66" t="s">
        <v>37</v>
      </c>
      <c r="F33" s="69"/>
      <c r="G33" s="43"/>
      <c r="H33" s="59"/>
      <c r="I33" s="74" t="s">
        <v>40</v>
      </c>
    </row>
    <row r="34" spans="2:10" ht="24">
      <c r="B34" s="57"/>
      <c r="C34" s="56"/>
      <c r="D34" s="42"/>
      <c r="E34" s="38"/>
      <c r="F34" s="38"/>
      <c r="G34" s="63" t="s">
        <v>47</v>
      </c>
      <c r="H34" s="70">
        <f>SUM(H31-H32+H33)</f>
        <v>0</v>
      </c>
      <c r="I34" s="74" t="s">
        <v>40</v>
      </c>
    </row>
    <row r="35" spans="2:10" ht="24">
      <c r="B35" s="57"/>
      <c r="C35" s="56"/>
      <c r="D35" s="12"/>
      <c r="E35" s="12"/>
      <c r="F35" s="12"/>
      <c r="G35" s="12"/>
      <c r="H35" s="12"/>
      <c r="I35" s="53"/>
    </row>
    <row r="36" spans="2:10" ht="24">
      <c r="B36" s="57"/>
      <c r="C36" s="56"/>
      <c r="D36" s="12"/>
      <c r="E36" s="12"/>
      <c r="F36" s="12"/>
      <c r="G36" s="12"/>
      <c r="H36" s="12"/>
      <c r="I36" s="12"/>
    </row>
    <row r="37" spans="2:10" ht="24">
      <c r="B37" s="57"/>
      <c r="C37" s="56"/>
      <c r="D37" s="12"/>
      <c r="E37" s="12"/>
      <c r="F37" s="12"/>
      <c r="G37" s="12"/>
      <c r="H37" s="12"/>
      <c r="I37" s="12"/>
    </row>
    <row r="38" spans="2:10" ht="24">
      <c r="B38" s="57"/>
      <c r="C38" s="56"/>
      <c r="D38" s="12"/>
      <c r="E38" s="12"/>
      <c r="F38" s="12"/>
      <c r="G38" s="12"/>
      <c r="H38" s="12"/>
      <c r="I38" s="54"/>
    </row>
    <row r="39" spans="2:10" s="11" customFormat="1" ht="20.25" customHeight="1">
      <c r="B39" s="57"/>
      <c r="C39" s="58"/>
      <c r="D39" s="12"/>
      <c r="E39" s="12"/>
      <c r="F39" s="12"/>
      <c r="G39" s="12"/>
      <c r="H39" s="12"/>
      <c r="I39" s="12"/>
      <c r="J39" s="18"/>
    </row>
    <row r="40" spans="2:10" s="11" customFormat="1" ht="20.25" customHeight="1">
      <c r="B40" s="57"/>
      <c r="C40" s="58"/>
      <c r="D40" s="12"/>
      <c r="E40" s="12"/>
      <c r="F40" s="12"/>
      <c r="G40" s="12"/>
      <c r="H40" s="12"/>
      <c r="I40" s="12"/>
    </row>
    <row r="41" spans="2:10" s="11" customFormat="1" ht="20.25" customHeight="1">
      <c r="B41" s="57"/>
      <c r="C41" s="58"/>
      <c r="D41" s="12"/>
      <c r="E41" s="12"/>
      <c r="F41" s="12"/>
      <c r="G41" s="12"/>
      <c r="H41" s="12"/>
      <c r="I41" s="12"/>
    </row>
    <row r="42" spans="2:10" s="11" customFormat="1" ht="20.25" customHeight="1">
      <c r="B42" s="57"/>
      <c r="C42" s="58"/>
      <c r="D42" s="12"/>
      <c r="E42" s="12"/>
      <c r="F42" s="12"/>
      <c r="G42" s="12"/>
      <c r="H42" s="12"/>
      <c r="I42" s="12"/>
    </row>
    <row r="43" spans="2:10" ht="24">
      <c r="B43" s="1"/>
      <c r="C43" s="1"/>
      <c r="D43" s="1"/>
      <c r="E43" s="1"/>
      <c r="F43" s="1"/>
      <c r="G43" s="12"/>
      <c r="H43" s="1"/>
      <c r="I43" s="12"/>
    </row>
    <row r="44" spans="2:10" ht="24">
      <c r="B44" s="12"/>
      <c r="C44" s="12"/>
      <c r="D44" s="12"/>
      <c r="E44" s="12"/>
      <c r="F44" s="12"/>
      <c r="G44" s="12"/>
      <c r="H44" s="12"/>
      <c r="I44" s="41"/>
    </row>
    <row r="45" spans="2:10" ht="24">
      <c r="B45" s="12"/>
      <c r="C45" s="12"/>
      <c r="D45" s="12"/>
      <c r="E45" s="12"/>
      <c r="F45" s="39"/>
      <c r="G45" s="39"/>
      <c r="H45" s="40"/>
      <c r="I45" s="39"/>
    </row>
  </sheetData>
  <mergeCells count="9">
    <mergeCell ref="E27:H27"/>
    <mergeCell ref="E29:H29"/>
    <mergeCell ref="E28:H28"/>
    <mergeCell ref="I2:J2"/>
    <mergeCell ref="B6:D6"/>
    <mergeCell ref="G15:G16"/>
    <mergeCell ref="H16:J16"/>
    <mergeCell ref="H17:J17"/>
    <mergeCell ref="B22:I23"/>
  </mergeCells>
  <phoneticPr fontId="7"/>
  <dataValidations count="1">
    <dataValidation allowBlank="1" showInputMessage="1" showErrorMessage="1" sqref="H2" xr:uid="{774C2887-FF8A-9F45-A05B-023AA09EE986}"/>
  </dataValidations>
  <pageMargins left="0.7" right="0.7" top="0.75" bottom="0.75" header="0.3" footer="0.3"/>
  <pageSetup paperSize="9" scale="77" orientation="portrai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3BB6C-C521-C149-9221-9ED431419A7B}">
  <sheetPr>
    <tabColor theme="4"/>
    <pageSetUpPr fitToPage="1"/>
  </sheetPr>
  <dimension ref="B1:M45"/>
  <sheetViews>
    <sheetView topLeftCell="A16" zoomScaleNormal="100" workbookViewId="0">
      <selection activeCell="L33" sqref="L33"/>
    </sheetView>
  </sheetViews>
  <sheetFormatPr baseColWidth="10" defaultColWidth="8.83203125" defaultRowHeight="18"/>
  <cols>
    <col min="1" max="1" width="8.1640625" customWidth="1"/>
    <col min="2" max="2" width="4.33203125" customWidth="1"/>
    <col min="3" max="3" width="8.5" customWidth="1"/>
    <col min="4" max="4" width="17.1640625" customWidth="1"/>
    <col min="5" max="5" width="13.6640625" customWidth="1"/>
    <col min="6" max="6" width="17.1640625" customWidth="1"/>
    <col min="7" max="7" width="13.6640625" customWidth="1"/>
    <col min="8" max="8" width="17.1640625" customWidth="1"/>
    <col min="9" max="9" width="6.5" customWidth="1"/>
    <col min="10" max="10" width="6.6640625" customWidth="1"/>
    <col min="11" max="11" width="11.1640625" customWidth="1"/>
    <col min="12" max="12" width="6.6640625" customWidth="1"/>
    <col min="13" max="13" width="15.83203125" customWidth="1"/>
    <col min="14" max="14" width="17.6640625" customWidth="1"/>
    <col min="15" max="15" width="18.1640625" customWidth="1"/>
  </cols>
  <sheetData>
    <row r="1" spans="2:13">
      <c r="I1" s="10"/>
    </row>
    <row r="2" spans="2:13" ht="24">
      <c r="B2" s="1"/>
      <c r="G2" s="87"/>
      <c r="H2" s="88"/>
      <c r="I2" s="130"/>
      <c r="J2" s="130"/>
    </row>
    <row r="3" spans="2:13" ht="24" customHeight="1">
      <c r="B3" s="76"/>
      <c r="C3" s="76"/>
      <c r="D3" s="76"/>
      <c r="E3" s="76"/>
      <c r="G3" s="87"/>
      <c r="H3" s="88"/>
      <c r="I3" s="88"/>
    </row>
    <row r="4" spans="2:13" ht="18.75" customHeight="1">
      <c r="B4" s="76"/>
      <c r="C4" s="76"/>
      <c r="D4" s="76"/>
      <c r="E4" s="76"/>
    </row>
    <row r="5" spans="2:13" ht="24">
      <c r="B5" s="33"/>
      <c r="C5" s="33"/>
      <c r="D5" s="33"/>
    </row>
    <row r="6" spans="2:13" ht="45">
      <c r="B6" s="131"/>
      <c r="C6" s="131"/>
      <c r="D6" s="131"/>
      <c r="E6" s="1"/>
      <c r="F6" s="86" t="s">
        <v>137</v>
      </c>
    </row>
    <row r="7" spans="2:13" ht="24">
      <c r="B7" s="1" t="s">
        <v>20</v>
      </c>
      <c r="C7" s="12"/>
      <c r="D7" s="90">
        <v>2319115982</v>
      </c>
      <c r="E7" s="13"/>
    </row>
    <row r="8" spans="2:13" ht="24">
      <c r="B8" s="12" t="s">
        <v>21</v>
      </c>
      <c r="C8" s="12"/>
      <c r="D8" s="12" t="str">
        <f>受給者情報!G27</f>
        <v>公文彩友美</v>
      </c>
      <c r="E8" t="s">
        <v>41</v>
      </c>
    </row>
    <row r="12" spans="2:13" ht="31">
      <c r="E12" s="52" t="s">
        <v>22</v>
      </c>
      <c r="F12" s="52"/>
      <c r="G12" s="52"/>
    </row>
    <row r="13" spans="2:13" ht="24">
      <c r="I13" s="14"/>
      <c r="M13" s="37"/>
    </row>
    <row r="14" spans="2:13">
      <c r="M14" s="37"/>
    </row>
    <row r="15" spans="2:13" ht="24" customHeight="1">
      <c r="G15" s="132" t="s">
        <v>23</v>
      </c>
      <c r="H15" s="49" t="s">
        <v>24</v>
      </c>
      <c r="I15" s="49"/>
      <c r="M15" s="37"/>
    </row>
    <row r="16" spans="2:13" ht="24" customHeight="1">
      <c r="G16" s="132"/>
      <c r="H16" s="133" t="s">
        <v>25</v>
      </c>
      <c r="I16" s="133"/>
      <c r="J16" s="133"/>
      <c r="M16" s="37"/>
    </row>
    <row r="17" spans="2:13" ht="40.5" customHeight="1">
      <c r="G17" s="50"/>
      <c r="H17" s="133" t="s">
        <v>27</v>
      </c>
      <c r="I17" s="133"/>
      <c r="J17" s="133"/>
      <c r="M17" s="37"/>
    </row>
    <row r="18" spans="2:13">
      <c r="G18" s="51" t="s">
        <v>28</v>
      </c>
      <c r="H18" s="51" t="str">
        <f>事業者情報!C5&amp;"　"&amp;事業者情報!C6</f>
        <v>代表取締役社長　澤田昌志</v>
      </c>
      <c r="M18" s="37"/>
    </row>
    <row r="19" spans="2:13">
      <c r="G19" s="51" t="s">
        <v>29</v>
      </c>
      <c r="H19" s="51" t="str">
        <f>事業者情報!C7&amp;""</f>
        <v>0566-63-6817</v>
      </c>
      <c r="M19" s="37"/>
    </row>
    <row r="20" spans="2:13">
      <c r="G20" s="51" t="s">
        <v>30</v>
      </c>
      <c r="H20" s="51" t="str">
        <f>事業者情報!C8&amp;""</f>
        <v>0566-63-6818</v>
      </c>
      <c r="M20" s="37"/>
    </row>
    <row r="21" spans="2:13">
      <c r="M21" s="37"/>
    </row>
    <row r="22" spans="2:13" ht="24" customHeight="1">
      <c r="B22" s="134" t="s">
        <v>135</v>
      </c>
      <c r="C22" s="134"/>
      <c r="D22" s="134"/>
      <c r="E22" s="134"/>
      <c r="F22" s="134"/>
      <c r="G22" s="134"/>
      <c r="H22" s="134"/>
      <c r="I22" s="134"/>
      <c r="M22" s="37"/>
    </row>
    <row r="23" spans="2:13" ht="24" customHeight="1">
      <c r="B23" s="134"/>
      <c r="C23" s="134"/>
      <c r="D23" s="134"/>
      <c r="E23" s="134"/>
      <c r="F23" s="134"/>
      <c r="G23" s="134"/>
      <c r="H23" s="134"/>
      <c r="I23" s="134"/>
      <c r="M23" s="37"/>
    </row>
    <row r="25" spans="2:13" ht="27">
      <c r="C25" s="98">
        <v>10</v>
      </c>
      <c r="D25" s="98" t="s">
        <v>173</v>
      </c>
      <c r="E25" s="71" t="s">
        <v>32</v>
      </c>
      <c r="F25" s="72">
        <f>H34</f>
        <v>0</v>
      </c>
      <c r="G25" s="16" t="s">
        <v>33</v>
      </c>
    </row>
    <row r="27" spans="2:13" ht="24.75" customHeight="1">
      <c r="B27" s="55"/>
      <c r="C27" s="56"/>
      <c r="D27" s="64" t="s">
        <v>42</v>
      </c>
      <c r="E27" s="136" t="s">
        <v>152</v>
      </c>
      <c r="F27" s="124"/>
      <c r="G27" s="124"/>
      <c r="H27" s="125"/>
      <c r="I27" s="12"/>
    </row>
    <row r="28" spans="2:13" ht="24.75" customHeight="1">
      <c r="B28" s="55"/>
      <c r="C28" s="56"/>
      <c r="D28" s="60" t="s">
        <v>139</v>
      </c>
      <c r="E28" s="135" t="s">
        <v>104</v>
      </c>
      <c r="F28" s="124"/>
      <c r="G28" s="124"/>
      <c r="H28" s="125"/>
      <c r="I28" s="12"/>
    </row>
    <row r="29" spans="2:13" ht="24.75" customHeight="1">
      <c r="B29" s="57"/>
      <c r="C29" s="56"/>
      <c r="D29" s="60" t="s">
        <v>43</v>
      </c>
      <c r="E29" s="126">
        <v>46010</v>
      </c>
      <c r="F29" s="124"/>
      <c r="G29" s="124"/>
      <c r="H29" s="125"/>
      <c r="I29" s="53"/>
    </row>
    <row r="30" spans="2:13" ht="24.75" customHeight="1">
      <c r="B30" s="57"/>
      <c r="C30" s="56"/>
      <c r="D30" s="65" t="s">
        <v>44</v>
      </c>
      <c r="E30" s="61"/>
      <c r="F30" s="67"/>
      <c r="G30" s="45"/>
      <c r="H30" s="104"/>
      <c r="I30" s="73" t="s">
        <v>45</v>
      </c>
    </row>
    <row r="31" spans="2:13" ht="24.75" customHeight="1">
      <c r="B31" s="57"/>
      <c r="C31" s="56"/>
      <c r="D31" s="62" t="s">
        <v>46</v>
      </c>
      <c r="E31" s="68" t="s">
        <v>35</v>
      </c>
      <c r="F31" s="67"/>
      <c r="G31" s="45"/>
      <c r="H31" s="101">
        <f>H30</f>
        <v>0</v>
      </c>
      <c r="I31" s="74" t="s">
        <v>40</v>
      </c>
    </row>
    <row r="32" spans="2:13" ht="24.75" customHeight="1">
      <c r="B32" s="57"/>
      <c r="C32" s="56"/>
      <c r="D32" s="62"/>
      <c r="E32" s="68" t="s">
        <v>36</v>
      </c>
      <c r="F32" s="67"/>
      <c r="G32" s="45"/>
      <c r="H32" s="102">
        <v>0</v>
      </c>
      <c r="I32" s="74" t="s">
        <v>40</v>
      </c>
    </row>
    <row r="33" spans="2:10" ht="24.75" customHeight="1">
      <c r="B33" s="57"/>
      <c r="C33" s="56"/>
      <c r="D33" s="62"/>
      <c r="E33" s="66" t="s">
        <v>37</v>
      </c>
      <c r="F33" s="69"/>
      <c r="G33" s="43"/>
      <c r="H33" s="103">
        <v>0</v>
      </c>
      <c r="I33" s="74" t="s">
        <v>40</v>
      </c>
    </row>
    <row r="34" spans="2:10" ht="24">
      <c r="B34" s="57"/>
      <c r="C34" s="56"/>
      <c r="D34" s="42"/>
      <c r="E34" s="38"/>
      <c r="F34" s="38"/>
      <c r="G34" s="63" t="s">
        <v>47</v>
      </c>
      <c r="H34" s="96">
        <f>SUM(H31-H32+H33)</f>
        <v>0</v>
      </c>
      <c r="I34" s="74" t="s">
        <v>40</v>
      </c>
    </row>
    <row r="35" spans="2:10" ht="24">
      <c r="B35" s="57"/>
      <c r="C35" s="56"/>
      <c r="D35" s="12"/>
      <c r="E35" s="12"/>
      <c r="F35" s="12"/>
      <c r="G35" s="12"/>
      <c r="H35" s="105"/>
      <c r="I35" s="53"/>
    </row>
    <row r="36" spans="2:10" ht="24">
      <c r="B36" s="57"/>
      <c r="C36" s="56"/>
      <c r="D36" s="12"/>
      <c r="E36" s="12"/>
      <c r="F36" s="12"/>
      <c r="G36" s="12"/>
      <c r="H36" s="105"/>
      <c r="I36" s="12"/>
    </row>
    <row r="37" spans="2:10" ht="24">
      <c r="B37" s="57"/>
      <c r="C37" s="56"/>
      <c r="D37" s="12"/>
      <c r="E37" s="12"/>
      <c r="F37" s="12"/>
      <c r="G37" s="12"/>
      <c r="H37" s="12"/>
      <c r="I37" s="12"/>
    </row>
    <row r="38" spans="2:10" ht="24">
      <c r="B38" s="57"/>
      <c r="C38" s="56"/>
      <c r="D38" s="12"/>
      <c r="E38" s="12"/>
      <c r="F38" s="12"/>
      <c r="G38" s="12"/>
      <c r="H38" s="12"/>
      <c r="I38" s="54"/>
    </row>
    <row r="39" spans="2:10" s="11" customFormat="1" ht="20.25" customHeight="1">
      <c r="B39" s="57"/>
      <c r="C39" s="58"/>
      <c r="D39" s="12"/>
      <c r="E39" s="12"/>
      <c r="F39" s="12"/>
      <c r="G39" s="12"/>
      <c r="H39" s="12"/>
      <c r="I39" s="12"/>
      <c r="J39" s="18"/>
    </row>
    <row r="40" spans="2:10" s="11" customFormat="1" ht="20.25" customHeight="1">
      <c r="B40" s="57"/>
      <c r="C40" s="58"/>
      <c r="D40" s="12"/>
      <c r="E40" s="12"/>
      <c r="F40" s="12"/>
      <c r="G40" s="12"/>
      <c r="H40" s="12"/>
      <c r="I40" s="12"/>
    </row>
    <row r="41" spans="2:10" s="11" customFormat="1" ht="20.25" customHeight="1">
      <c r="B41" s="57"/>
      <c r="C41" s="58"/>
      <c r="D41" s="12"/>
      <c r="E41" s="12"/>
      <c r="F41" s="12"/>
      <c r="G41" s="12"/>
      <c r="H41" s="12"/>
      <c r="I41" s="12"/>
    </row>
    <row r="42" spans="2:10" s="11" customFormat="1" ht="20.25" customHeight="1">
      <c r="B42" s="57"/>
      <c r="C42" s="58"/>
      <c r="D42" s="12"/>
      <c r="E42" s="12"/>
      <c r="F42" s="12"/>
      <c r="G42" s="12"/>
      <c r="H42" s="12"/>
      <c r="I42" s="12"/>
    </row>
    <row r="43" spans="2:10" ht="24">
      <c r="B43" s="1"/>
      <c r="C43" s="1"/>
      <c r="D43" s="1"/>
      <c r="E43" s="1"/>
      <c r="F43" s="1"/>
      <c r="G43" s="12"/>
      <c r="H43" s="1"/>
      <c r="I43" s="12"/>
    </row>
    <row r="44" spans="2:10" ht="24">
      <c r="B44" s="12"/>
      <c r="C44" s="12"/>
      <c r="D44" s="12"/>
      <c r="E44" s="12"/>
      <c r="F44" s="12"/>
      <c r="G44" s="12"/>
      <c r="H44" s="12"/>
      <c r="I44" s="41"/>
    </row>
    <row r="45" spans="2:10" ht="24">
      <c r="B45" s="12"/>
      <c r="C45" s="12"/>
      <c r="D45" s="12"/>
      <c r="E45" s="12"/>
      <c r="F45" s="39"/>
      <c r="G45" s="39"/>
      <c r="H45" s="40"/>
      <c r="I45" s="39"/>
    </row>
  </sheetData>
  <mergeCells count="9">
    <mergeCell ref="E27:H27"/>
    <mergeCell ref="E29:H29"/>
    <mergeCell ref="E28:H28"/>
    <mergeCell ref="I2:J2"/>
    <mergeCell ref="B6:D6"/>
    <mergeCell ref="G15:G16"/>
    <mergeCell ref="H16:J16"/>
    <mergeCell ref="H17:J17"/>
    <mergeCell ref="B22:I23"/>
  </mergeCells>
  <phoneticPr fontId="7"/>
  <dataValidations count="1">
    <dataValidation allowBlank="1" showInputMessage="1" showErrorMessage="1" sqref="H2" xr:uid="{B99FEFCF-A4ED-4749-AC75-EC3EF418920C}"/>
  </dataValidations>
  <pageMargins left="0.7" right="0.7" top="0.75" bottom="0.75" header="0.3" footer="0.3"/>
  <pageSetup paperSize="9" scale="77" orientation="portrai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72500-5A00-2440-9106-F50A8E9B80CD}">
  <sheetPr>
    <tabColor theme="4"/>
    <pageSetUpPr fitToPage="1"/>
  </sheetPr>
  <dimension ref="B1:M45"/>
  <sheetViews>
    <sheetView topLeftCell="A7" zoomScaleNormal="100" workbookViewId="0">
      <selection activeCell="L33" sqref="L33"/>
    </sheetView>
  </sheetViews>
  <sheetFormatPr baseColWidth="10" defaultColWidth="8.83203125" defaultRowHeight="18"/>
  <cols>
    <col min="1" max="1" width="8.1640625" customWidth="1"/>
    <col min="2" max="2" width="4.33203125" customWidth="1"/>
    <col min="3" max="3" width="8.5" customWidth="1"/>
    <col min="4" max="4" width="17.1640625" customWidth="1"/>
    <col min="5" max="5" width="13.6640625" customWidth="1"/>
    <col min="6" max="6" width="17.1640625" customWidth="1"/>
    <col min="7" max="7" width="13.6640625" customWidth="1"/>
    <col min="8" max="8" width="17.1640625" customWidth="1"/>
    <col min="9" max="9" width="6.5" customWidth="1"/>
    <col min="10" max="10" width="6.6640625" customWidth="1"/>
    <col min="11" max="11" width="11.1640625" customWidth="1"/>
    <col min="12" max="12" width="6.6640625" customWidth="1"/>
    <col min="13" max="13" width="15.83203125" customWidth="1"/>
    <col min="14" max="14" width="17.6640625" customWidth="1"/>
    <col min="15" max="15" width="18.1640625" customWidth="1"/>
  </cols>
  <sheetData>
    <row r="1" spans="2:13">
      <c r="I1" s="10"/>
    </row>
    <row r="2" spans="2:13" ht="24">
      <c r="B2" s="1"/>
      <c r="G2" s="87"/>
      <c r="H2" s="88"/>
      <c r="I2" s="130"/>
      <c r="J2" s="130"/>
    </row>
    <row r="3" spans="2:13" ht="24" customHeight="1">
      <c r="B3" s="76"/>
      <c r="C3" s="76"/>
      <c r="D3" s="76"/>
      <c r="E3" s="76"/>
      <c r="G3" s="87"/>
      <c r="H3" s="88"/>
      <c r="I3" s="88"/>
    </row>
    <row r="4" spans="2:13" ht="18.75" customHeight="1">
      <c r="B4" s="76"/>
      <c r="C4" s="76"/>
      <c r="D4" s="76"/>
      <c r="E4" s="76"/>
    </row>
    <row r="5" spans="2:13" ht="24">
      <c r="B5" s="33"/>
      <c r="C5" s="33"/>
      <c r="D5" s="33"/>
    </row>
    <row r="6" spans="2:13" ht="45">
      <c r="B6" s="131"/>
      <c r="C6" s="131"/>
      <c r="D6" s="131"/>
      <c r="E6" s="1"/>
      <c r="F6" s="86" t="s">
        <v>137</v>
      </c>
    </row>
    <row r="7" spans="2:13" ht="24">
      <c r="B7" s="1" t="s">
        <v>20</v>
      </c>
      <c r="C7" s="12"/>
      <c r="D7" s="90">
        <v>3000005896</v>
      </c>
      <c r="E7" s="13"/>
    </row>
    <row r="8" spans="2:13" ht="24">
      <c r="B8" s="12" t="s">
        <v>21</v>
      </c>
      <c r="C8" s="12"/>
      <c r="D8" s="12" t="str">
        <f>受給者情報!G28</f>
        <v>長坂宙</v>
      </c>
      <c r="E8" t="s">
        <v>41</v>
      </c>
    </row>
    <row r="12" spans="2:13" ht="31">
      <c r="E12" s="52" t="s">
        <v>22</v>
      </c>
      <c r="F12" s="52"/>
      <c r="G12" s="52"/>
    </row>
    <row r="13" spans="2:13" ht="24">
      <c r="I13" s="14"/>
      <c r="M13" s="37"/>
    </row>
    <row r="14" spans="2:13">
      <c r="M14" s="37"/>
    </row>
    <row r="15" spans="2:13" ht="24" customHeight="1">
      <c r="G15" s="132" t="s">
        <v>23</v>
      </c>
      <c r="H15" s="49" t="s">
        <v>24</v>
      </c>
      <c r="I15" s="49"/>
      <c r="M15" s="37"/>
    </row>
    <row r="16" spans="2:13" ht="24" customHeight="1">
      <c r="G16" s="132"/>
      <c r="H16" s="133" t="s">
        <v>25</v>
      </c>
      <c r="I16" s="133"/>
      <c r="J16" s="133"/>
      <c r="M16" s="37"/>
    </row>
    <row r="17" spans="2:13" ht="40.5" customHeight="1">
      <c r="G17" s="50"/>
      <c r="H17" s="133" t="s">
        <v>27</v>
      </c>
      <c r="I17" s="133"/>
      <c r="J17" s="133"/>
      <c r="M17" s="37"/>
    </row>
    <row r="18" spans="2:13">
      <c r="G18" s="51" t="s">
        <v>28</v>
      </c>
      <c r="H18" s="51" t="str">
        <f>事業者情報!C5&amp;"　"&amp;事業者情報!C6</f>
        <v>代表取締役社長　澤田昌志</v>
      </c>
      <c r="M18" s="37"/>
    </row>
    <row r="19" spans="2:13">
      <c r="G19" s="51" t="s">
        <v>29</v>
      </c>
      <c r="H19" s="51" t="str">
        <f>事業者情報!C7&amp;""</f>
        <v>0566-63-6817</v>
      </c>
      <c r="M19" s="37"/>
    </row>
    <row r="20" spans="2:13">
      <c r="G20" s="51" t="s">
        <v>30</v>
      </c>
      <c r="H20" s="51" t="str">
        <f>事業者情報!C8&amp;""</f>
        <v>0566-63-6818</v>
      </c>
      <c r="M20" s="37"/>
    </row>
    <row r="21" spans="2:13">
      <c r="M21" s="37"/>
    </row>
    <row r="22" spans="2:13" ht="24" customHeight="1">
      <c r="B22" s="134" t="s">
        <v>135</v>
      </c>
      <c r="C22" s="134"/>
      <c r="D22" s="134"/>
      <c r="E22" s="134"/>
      <c r="F22" s="134"/>
      <c r="G22" s="134"/>
      <c r="H22" s="134"/>
      <c r="I22" s="134"/>
      <c r="M22" s="37"/>
    </row>
    <row r="23" spans="2:13" ht="24" customHeight="1">
      <c r="B23" s="134"/>
      <c r="C23" s="134"/>
      <c r="D23" s="134"/>
      <c r="E23" s="134"/>
      <c r="F23" s="134"/>
      <c r="G23" s="134"/>
      <c r="H23" s="134"/>
      <c r="I23" s="134"/>
      <c r="M23" s="37"/>
    </row>
    <row r="25" spans="2:13" ht="27">
      <c r="C25" s="98">
        <v>10</v>
      </c>
      <c r="D25" s="98" t="s">
        <v>173</v>
      </c>
      <c r="E25" s="71" t="s">
        <v>32</v>
      </c>
      <c r="F25" s="72">
        <f>H34</f>
        <v>0</v>
      </c>
      <c r="G25" s="16" t="s">
        <v>33</v>
      </c>
    </row>
    <row r="27" spans="2:13" ht="24.75" customHeight="1">
      <c r="B27" s="55"/>
      <c r="C27" s="56"/>
      <c r="D27" s="64" t="s">
        <v>42</v>
      </c>
      <c r="E27" s="136" t="s">
        <v>157</v>
      </c>
      <c r="F27" s="124"/>
      <c r="G27" s="124"/>
      <c r="H27" s="125"/>
      <c r="I27" s="12"/>
    </row>
    <row r="28" spans="2:13" ht="24.75" customHeight="1">
      <c r="B28" s="55"/>
      <c r="C28" s="56"/>
      <c r="D28" s="60" t="s">
        <v>139</v>
      </c>
      <c r="E28" s="135" t="s">
        <v>104</v>
      </c>
      <c r="F28" s="124"/>
      <c r="G28" s="124"/>
      <c r="H28" s="125"/>
      <c r="I28" s="12"/>
    </row>
    <row r="29" spans="2:13" ht="24.75" customHeight="1">
      <c r="B29" s="57"/>
      <c r="C29" s="56"/>
      <c r="D29" s="60" t="s">
        <v>43</v>
      </c>
      <c r="E29" s="126">
        <v>46010</v>
      </c>
      <c r="F29" s="124"/>
      <c r="G29" s="124"/>
      <c r="H29" s="125"/>
      <c r="I29" s="53"/>
    </row>
    <row r="30" spans="2:13" ht="24.75" customHeight="1">
      <c r="B30" s="57"/>
      <c r="C30" s="56"/>
      <c r="D30" s="65" t="s">
        <v>44</v>
      </c>
      <c r="E30" s="61"/>
      <c r="F30" s="67"/>
      <c r="G30" s="45"/>
      <c r="H30" s="46"/>
      <c r="I30" s="73" t="s">
        <v>45</v>
      </c>
    </row>
    <row r="31" spans="2:13" ht="24.75" customHeight="1">
      <c r="B31" s="57"/>
      <c r="C31" s="56"/>
      <c r="D31" s="62" t="s">
        <v>46</v>
      </c>
      <c r="E31" s="68" t="s">
        <v>35</v>
      </c>
      <c r="F31" s="67"/>
      <c r="G31" s="45"/>
      <c r="H31" s="44">
        <f>H30</f>
        <v>0</v>
      </c>
      <c r="I31" s="74" t="s">
        <v>40</v>
      </c>
    </row>
    <row r="32" spans="2:13" ht="24.75" customHeight="1">
      <c r="B32" s="57"/>
      <c r="C32" s="56"/>
      <c r="D32" s="62"/>
      <c r="E32" s="68" t="s">
        <v>36</v>
      </c>
      <c r="F32" s="67"/>
      <c r="G32" s="45"/>
      <c r="H32" s="45">
        <v>0</v>
      </c>
      <c r="I32" s="74" t="s">
        <v>40</v>
      </c>
    </row>
    <row r="33" spans="2:10" ht="24.75" customHeight="1">
      <c r="B33" s="57"/>
      <c r="C33" s="56"/>
      <c r="D33" s="62"/>
      <c r="E33" s="66" t="s">
        <v>37</v>
      </c>
      <c r="F33" s="69"/>
      <c r="G33" s="43"/>
      <c r="H33" s="59"/>
      <c r="I33" s="74" t="s">
        <v>40</v>
      </c>
    </row>
    <row r="34" spans="2:10" ht="24">
      <c r="B34" s="57"/>
      <c r="C34" s="56"/>
      <c r="D34" s="42"/>
      <c r="E34" s="38"/>
      <c r="F34" s="38"/>
      <c r="G34" s="63" t="s">
        <v>47</v>
      </c>
      <c r="H34" s="70">
        <f>SUM(H31-H32+H33)</f>
        <v>0</v>
      </c>
      <c r="I34" s="74" t="s">
        <v>40</v>
      </c>
    </row>
    <row r="35" spans="2:10" ht="24">
      <c r="B35" s="57"/>
      <c r="C35" s="56"/>
      <c r="D35" s="12"/>
      <c r="E35" s="12"/>
      <c r="F35" s="12"/>
      <c r="G35" s="12"/>
      <c r="H35" s="12"/>
      <c r="I35" s="53"/>
    </row>
    <row r="36" spans="2:10" ht="24">
      <c r="B36" s="57"/>
      <c r="C36" s="56"/>
      <c r="D36" s="12"/>
      <c r="E36" s="12"/>
      <c r="F36" s="12"/>
      <c r="G36" s="12"/>
      <c r="H36" s="12"/>
      <c r="I36" s="12"/>
    </row>
    <row r="37" spans="2:10" ht="24">
      <c r="B37" s="57"/>
      <c r="C37" s="56"/>
      <c r="D37" s="12"/>
      <c r="E37" s="12"/>
      <c r="F37" s="12"/>
      <c r="G37" s="12"/>
      <c r="H37" s="12"/>
      <c r="I37" s="12"/>
    </row>
    <row r="38" spans="2:10" ht="24">
      <c r="B38" s="57"/>
      <c r="C38" s="56"/>
      <c r="D38" s="12"/>
      <c r="E38" s="12"/>
      <c r="F38" s="12"/>
      <c r="G38" s="12"/>
      <c r="H38" s="12"/>
      <c r="I38" s="54"/>
    </row>
    <row r="39" spans="2:10" s="11" customFormat="1" ht="20.25" customHeight="1">
      <c r="B39" s="57"/>
      <c r="C39" s="58"/>
      <c r="D39" s="12"/>
      <c r="E39" s="12"/>
      <c r="F39" s="12"/>
      <c r="G39" s="12"/>
      <c r="H39" s="12"/>
      <c r="I39" s="12"/>
      <c r="J39" s="18"/>
    </row>
    <row r="40" spans="2:10" s="11" customFormat="1" ht="20.25" customHeight="1">
      <c r="B40" s="57"/>
      <c r="C40" s="58"/>
      <c r="D40" s="12"/>
      <c r="E40" s="12"/>
      <c r="F40" s="12"/>
      <c r="G40" s="12"/>
      <c r="H40" s="12"/>
      <c r="I40" s="12"/>
    </row>
    <row r="41" spans="2:10" s="11" customFormat="1" ht="20.25" customHeight="1">
      <c r="B41" s="57"/>
      <c r="C41" s="58"/>
      <c r="D41" s="12"/>
      <c r="E41" s="12"/>
      <c r="F41" s="12"/>
      <c r="G41" s="12"/>
      <c r="H41" s="12"/>
      <c r="I41" s="12"/>
    </row>
    <row r="42" spans="2:10" s="11" customFormat="1" ht="20.25" customHeight="1">
      <c r="B42" s="57"/>
      <c r="C42" s="58"/>
      <c r="D42" s="12"/>
      <c r="E42" s="12"/>
      <c r="F42" s="12"/>
      <c r="G42" s="12"/>
      <c r="H42" s="12"/>
      <c r="I42" s="12"/>
    </row>
    <row r="43" spans="2:10" ht="24">
      <c r="B43" s="1"/>
      <c r="C43" s="1"/>
      <c r="D43" s="1"/>
      <c r="E43" s="1"/>
      <c r="F43" s="1"/>
      <c r="G43" s="12"/>
      <c r="H43" s="1"/>
      <c r="I43" s="12"/>
    </row>
    <row r="44" spans="2:10" ht="24">
      <c r="B44" s="12"/>
      <c r="C44" s="12"/>
      <c r="D44" s="12"/>
      <c r="E44" s="12"/>
      <c r="F44" s="12"/>
      <c r="G44" s="12"/>
      <c r="H44" s="12"/>
      <c r="I44" s="41"/>
    </row>
    <row r="45" spans="2:10" ht="24">
      <c r="B45" s="12"/>
      <c r="C45" s="12"/>
      <c r="D45" s="12"/>
      <c r="E45" s="12"/>
      <c r="F45" s="39"/>
      <c r="G45" s="39"/>
      <c r="H45" s="40"/>
      <c r="I45" s="39"/>
    </row>
  </sheetData>
  <mergeCells count="9">
    <mergeCell ref="E27:H27"/>
    <mergeCell ref="E29:H29"/>
    <mergeCell ref="E28:H28"/>
    <mergeCell ref="I2:J2"/>
    <mergeCell ref="B6:D6"/>
    <mergeCell ref="G15:G16"/>
    <mergeCell ref="H16:J16"/>
    <mergeCell ref="H17:J17"/>
    <mergeCell ref="B22:I23"/>
  </mergeCells>
  <phoneticPr fontId="7"/>
  <dataValidations count="1">
    <dataValidation allowBlank="1" showInputMessage="1" showErrorMessage="1" sqref="H2" xr:uid="{BB618469-5741-8D44-8E52-1357C924821B}"/>
  </dataValidations>
  <pageMargins left="0.7" right="0.7" top="0.75" bottom="0.75" header="0.3" footer="0.3"/>
  <pageSetup paperSize="9" scale="77"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59658-65B8-F647-8BBE-9C4555801774}">
  <sheetPr>
    <tabColor theme="4"/>
    <pageSetUpPr fitToPage="1"/>
  </sheetPr>
  <dimension ref="B1:P44"/>
  <sheetViews>
    <sheetView topLeftCell="A12" zoomScaleNormal="100" workbookViewId="0">
      <selection activeCell="L33" sqref="L33"/>
    </sheetView>
  </sheetViews>
  <sheetFormatPr baseColWidth="10" defaultColWidth="8.83203125" defaultRowHeight="18"/>
  <cols>
    <col min="1" max="1" width="8.1640625" customWidth="1"/>
    <col min="2" max="2" width="4.33203125" customWidth="1"/>
    <col min="3" max="3" width="8.5" customWidth="1"/>
    <col min="4" max="4" width="17.1640625" customWidth="1"/>
    <col min="5" max="5" width="13.6640625" customWidth="1"/>
    <col min="6" max="6" width="15.6640625" customWidth="1"/>
    <col min="7" max="7" width="13.33203125" customWidth="1"/>
    <col min="8" max="8" width="9.83203125" customWidth="1"/>
    <col min="9" max="9" width="6.5" customWidth="1"/>
    <col min="10" max="10" width="6.6640625" customWidth="1"/>
    <col min="11" max="11" width="11.1640625" customWidth="1"/>
    <col min="12" max="12" width="6.6640625" customWidth="1"/>
    <col min="13" max="13" width="15.83203125" customWidth="1"/>
    <col min="14" max="14" width="17.6640625" customWidth="1"/>
    <col min="15" max="15" width="18.1640625" customWidth="1"/>
  </cols>
  <sheetData>
    <row r="1" spans="2:16">
      <c r="I1" s="10"/>
      <c r="N1" t="s">
        <v>16</v>
      </c>
      <c r="O1" t="s">
        <v>17</v>
      </c>
      <c r="P1" t="s">
        <v>18</v>
      </c>
    </row>
    <row r="2" spans="2:16" ht="24">
      <c r="B2" s="1"/>
      <c r="G2" s="47" t="s">
        <v>75</v>
      </c>
      <c r="H2" s="77"/>
      <c r="I2" s="139"/>
      <c r="J2" s="140"/>
    </row>
    <row r="3" spans="2:16" ht="24" customHeight="1">
      <c r="B3" s="76"/>
      <c r="C3" s="76"/>
      <c r="D3" s="76"/>
      <c r="E3" s="76"/>
      <c r="G3" s="48" t="s">
        <v>76</v>
      </c>
      <c r="H3" s="77"/>
      <c r="I3" s="75"/>
      <c r="J3" s="7"/>
    </row>
    <row r="4" spans="2:16" ht="18.75" customHeight="1">
      <c r="B4" s="76"/>
      <c r="C4" s="76"/>
      <c r="D4" s="76"/>
      <c r="E4" s="76"/>
    </row>
    <row r="5" spans="2:16" ht="24">
      <c r="B5" s="33"/>
      <c r="C5" s="33"/>
      <c r="D5" s="33"/>
    </row>
    <row r="6" spans="2:16" ht="24">
      <c r="B6" s="131"/>
      <c r="C6" s="131"/>
      <c r="D6" s="131"/>
      <c r="E6" s="1"/>
    </row>
    <row r="7" spans="2:16" ht="24">
      <c r="B7" s="1" t="s">
        <v>20</v>
      </c>
      <c r="C7" s="12"/>
      <c r="D7" s="90" t="s">
        <v>172</v>
      </c>
      <c r="E7" s="13"/>
    </row>
    <row r="8" spans="2:16" ht="24">
      <c r="B8" s="12" t="s">
        <v>21</v>
      </c>
      <c r="C8" s="12"/>
      <c r="D8" s="90" t="s">
        <v>171</v>
      </c>
      <c r="E8" t="s">
        <v>41</v>
      </c>
    </row>
    <row r="12" spans="2:16" ht="31">
      <c r="E12" s="52" t="s">
        <v>22</v>
      </c>
      <c r="F12" s="52"/>
      <c r="G12" s="52"/>
    </row>
    <row r="13" spans="2:16" ht="24">
      <c r="I13" s="14"/>
      <c r="M13" s="37"/>
    </row>
    <row r="14" spans="2:16">
      <c r="M14" s="37"/>
    </row>
    <row r="15" spans="2:16" ht="24" customHeight="1">
      <c r="G15" s="132" t="s">
        <v>23</v>
      </c>
      <c r="H15" s="49" t="s">
        <v>24</v>
      </c>
      <c r="I15" s="49"/>
      <c r="M15" s="37"/>
    </row>
    <row r="16" spans="2:16" ht="24" customHeight="1">
      <c r="G16" s="132"/>
      <c r="H16" s="133" t="s">
        <v>25</v>
      </c>
      <c r="I16" s="133"/>
      <c r="J16" s="133"/>
      <c r="M16" s="37"/>
    </row>
    <row r="17" spans="2:13" ht="40.5" customHeight="1">
      <c r="G17" s="50"/>
      <c r="H17" s="133" t="s">
        <v>27</v>
      </c>
      <c r="I17" s="133"/>
      <c r="J17" s="133"/>
      <c r="M17" s="37"/>
    </row>
    <row r="18" spans="2:13">
      <c r="G18" s="51" t="s">
        <v>28</v>
      </c>
      <c r="H18" s="51" t="str">
        <f>事業者情報!C5&amp;"　"&amp;事業者情報!C6</f>
        <v>代表取締役社長　澤田昌志</v>
      </c>
      <c r="M18" s="37"/>
    </row>
    <row r="19" spans="2:13">
      <c r="G19" s="51" t="s">
        <v>29</v>
      </c>
      <c r="H19" s="51" t="str">
        <f>事業者情報!C7&amp;""</f>
        <v>0566-63-6817</v>
      </c>
      <c r="M19" s="37"/>
    </row>
    <row r="20" spans="2:13">
      <c r="G20" s="51" t="s">
        <v>30</v>
      </c>
      <c r="H20" s="51" t="str">
        <f>事業者情報!C8&amp;""</f>
        <v>0566-63-6818</v>
      </c>
      <c r="M20" s="37"/>
    </row>
    <row r="21" spans="2:13">
      <c r="M21" s="37"/>
    </row>
    <row r="22" spans="2:13" ht="24" customHeight="1">
      <c r="B22" s="134" t="s">
        <v>135</v>
      </c>
      <c r="C22" s="134"/>
      <c r="D22" s="134"/>
      <c r="E22" s="134"/>
      <c r="F22" s="134"/>
      <c r="G22" s="134"/>
      <c r="H22" s="134"/>
      <c r="I22" s="134"/>
      <c r="M22" s="37"/>
    </row>
    <row r="23" spans="2:13" ht="24" customHeight="1">
      <c r="B23" s="134"/>
      <c r="C23" s="134"/>
      <c r="D23" s="134"/>
      <c r="E23" s="134"/>
      <c r="F23" s="134"/>
      <c r="G23" s="134"/>
      <c r="H23" s="134"/>
      <c r="I23" s="134"/>
      <c r="M23" s="37"/>
    </row>
    <row r="25" spans="2:13" ht="27">
      <c r="C25" s="98">
        <v>10</v>
      </c>
      <c r="D25" s="98" t="s">
        <v>173</v>
      </c>
      <c r="E25" s="71" t="s">
        <v>32</v>
      </c>
      <c r="F25" s="72">
        <f>H33</f>
        <v>0</v>
      </c>
      <c r="G25" s="16" t="s">
        <v>33</v>
      </c>
    </row>
    <row r="27" spans="2:13" ht="24.75" customHeight="1">
      <c r="B27" s="55"/>
      <c r="C27" s="56"/>
      <c r="D27" s="64" t="s">
        <v>42</v>
      </c>
      <c r="E27" s="136" t="s">
        <v>133</v>
      </c>
      <c r="F27" s="124"/>
      <c r="G27" s="124"/>
      <c r="H27" s="125"/>
      <c r="I27" s="12"/>
    </row>
    <row r="28" spans="2:13" ht="24.75" customHeight="1">
      <c r="B28" s="57"/>
      <c r="C28" s="56"/>
      <c r="D28" s="60" t="s">
        <v>43</v>
      </c>
      <c r="E28" s="136" t="s">
        <v>104</v>
      </c>
      <c r="F28" s="124"/>
      <c r="G28" s="124"/>
      <c r="H28" s="125"/>
      <c r="I28" s="53"/>
    </row>
    <row r="29" spans="2:13" ht="24.75" customHeight="1">
      <c r="B29" s="57"/>
      <c r="C29" s="56"/>
      <c r="D29" s="65" t="s">
        <v>44</v>
      </c>
      <c r="E29" s="117">
        <v>46010</v>
      </c>
      <c r="F29" s="67"/>
      <c r="G29" s="45"/>
      <c r="H29" s="46"/>
      <c r="I29" s="73" t="s">
        <v>45</v>
      </c>
    </row>
    <row r="30" spans="2:13" ht="24.75" customHeight="1">
      <c r="B30" s="57"/>
      <c r="C30" s="56"/>
      <c r="D30" s="62" t="s">
        <v>46</v>
      </c>
      <c r="E30" s="68" t="s">
        <v>35</v>
      </c>
      <c r="F30" s="67"/>
      <c r="G30" s="45"/>
      <c r="H30" s="44"/>
      <c r="I30" s="74" t="s">
        <v>40</v>
      </c>
    </row>
    <row r="31" spans="2:13" ht="24.75" customHeight="1">
      <c r="B31" s="57"/>
      <c r="C31" s="56"/>
      <c r="D31" s="62"/>
      <c r="E31" s="68" t="s">
        <v>36</v>
      </c>
      <c r="F31" s="67"/>
      <c r="G31" s="45"/>
      <c r="H31" s="45">
        <f>H30</f>
        <v>0</v>
      </c>
      <c r="I31" s="74" t="s">
        <v>40</v>
      </c>
    </row>
    <row r="32" spans="2:13" ht="24.75" customHeight="1">
      <c r="B32" s="57"/>
      <c r="C32" s="56"/>
      <c r="D32" s="62"/>
      <c r="E32" s="66" t="s">
        <v>37</v>
      </c>
      <c r="F32" s="69"/>
      <c r="G32" s="43"/>
      <c r="H32" s="59">
        <v>0</v>
      </c>
      <c r="I32" s="74" t="s">
        <v>40</v>
      </c>
    </row>
    <row r="33" spans="2:10" ht="24">
      <c r="B33" s="57"/>
      <c r="C33" s="56"/>
      <c r="D33" s="42"/>
      <c r="E33" s="38"/>
      <c r="F33" s="38"/>
      <c r="G33" s="63" t="s">
        <v>47</v>
      </c>
      <c r="H33" s="70">
        <f>SUM(H30-H31+H32)</f>
        <v>0</v>
      </c>
      <c r="I33" s="74" t="s">
        <v>40</v>
      </c>
    </row>
    <row r="34" spans="2:10" ht="24">
      <c r="B34" s="57"/>
      <c r="C34" s="56"/>
      <c r="D34" s="12"/>
      <c r="E34" s="12"/>
      <c r="F34" s="12"/>
      <c r="G34" s="12"/>
      <c r="H34" s="12"/>
      <c r="I34" s="53"/>
    </row>
    <row r="35" spans="2:10" ht="24">
      <c r="B35" s="57"/>
      <c r="C35" s="56"/>
      <c r="D35" s="12"/>
      <c r="E35" s="12"/>
      <c r="F35" s="12"/>
      <c r="G35" s="12"/>
      <c r="H35" s="12"/>
      <c r="I35" s="12"/>
    </row>
    <row r="36" spans="2:10" ht="24">
      <c r="B36" s="57"/>
      <c r="C36" s="56"/>
      <c r="D36" s="12"/>
      <c r="E36" s="12"/>
      <c r="F36" s="12"/>
      <c r="G36" s="12"/>
      <c r="H36" s="12"/>
      <c r="I36" s="12"/>
    </row>
    <row r="37" spans="2:10" ht="24">
      <c r="B37" s="57"/>
      <c r="C37" s="56"/>
      <c r="D37" s="12"/>
      <c r="E37" s="12"/>
      <c r="F37" s="12"/>
      <c r="G37" s="12"/>
      <c r="H37" s="12"/>
      <c r="I37" s="54"/>
    </row>
    <row r="38" spans="2:10" s="11" customFormat="1" ht="20.25" customHeight="1">
      <c r="B38" s="57"/>
      <c r="C38" s="58"/>
      <c r="D38" s="12"/>
      <c r="E38" s="12"/>
      <c r="F38" s="12"/>
      <c r="G38" s="12"/>
      <c r="H38" s="12"/>
      <c r="I38" s="12"/>
      <c r="J38" s="18"/>
    </row>
    <row r="39" spans="2:10" s="11" customFormat="1" ht="20.25" customHeight="1">
      <c r="B39" s="57"/>
      <c r="C39" s="58"/>
      <c r="D39" s="12"/>
      <c r="E39" s="12"/>
      <c r="F39" s="12"/>
      <c r="G39" s="12"/>
      <c r="H39" s="12"/>
      <c r="I39" s="12"/>
    </row>
    <row r="40" spans="2:10" s="11" customFormat="1" ht="20.25" customHeight="1">
      <c r="B40" s="57"/>
      <c r="C40" s="58"/>
      <c r="D40" s="12"/>
      <c r="E40" s="12"/>
      <c r="F40" s="12"/>
      <c r="G40" s="12"/>
      <c r="H40" s="12"/>
      <c r="I40" s="12"/>
    </row>
    <row r="41" spans="2:10" s="11" customFormat="1" ht="20.25" customHeight="1">
      <c r="B41" s="57"/>
      <c r="C41" s="58"/>
      <c r="D41" s="12"/>
      <c r="E41" s="12"/>
      <c r="F41" s="12"/>
      <c r="G41" s="12"/>
      <c r="H41" s="12"/>
      <c r="I41" s="12"/>
    </row>
    <row r="42" spans="2:10" ht="24">
      <c r="B42" s="1"/>
      <c r="C42" s="1"/>
      <c r="D42" s="1"/>
      <c r="E42" s="1"/>
      <c r="F42" s="1"/>
      <c r="G42" s="12"/>
      <c r="H42" s="1"/>
      <c r="I42" s="12"/>
    </row>
    <row r="43" spans="2:10" ht="24">
      <c r="B43" s="12"/>
      <c r="C43" s="12"/>
      <c r="D43" s="12"/>
      <c r="E43" s="12"/>
      <c r="F43" s="12"/>
      <c r="G43" s="12"/>
      <c r="H43" s="12"/>
      <c r="I43" s="41"/>
    </row>
    <row r="44" spans="2:10" ht="24">
      <c r="B44" s="12"/>
      <c r="C44" s="12"/>
      <c r="D44" s="12"/>
      <c r="E44" s="12"/>
      <c r="F44" s="39"/>
      <c r="G44" s="39"/>
      <c r="H44" s="40"/>
      <c r="I44" s="39"/>
    </row>
  </sheetData>
  <mergeCells count="8">
    <mergeCell ref="E27:H27"/>
    <mergeCell ref="E28:H28"/>
    <mergeCell ref="I2:J2"/>
    <mergeCell ref="B6:D6"/>
    <mergeCell ref="G15:G16"/>
    <mergeCell ref="H16:J16"/>
    <mergeCell ref="H17:J17"/>
    <mergeCell ref="B22:I23"/>
  </mergeCells>
  <phoneticPr fontId="7"/>
  <dataValidations count="1">
    <dataValidation allowBlank="1" showInputMessage="1" showErrorMessage="1" sqref="H2" xr:uid="{7AEA000B-7880-2246-B799-E592183BDD70}"/>
  </dataValidations>
  <pageMargins left="0.7" right="0.7" top="0.75" bottom="0.75" header="0.3" footer="0.3"/>
  <pageSetup paperSize="9" scale="77" orientation="portrai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1">
    <pageSetUpPr fitToPage="1"/>
  </sheetPr>
  <dimension ref="A1:L42"/>
  <sheetViews>
    <sheetView topLeftCell="A12" zoomScaleNormal="100" workbookViewId="0">
      <selection activeCell="L33" sqref="L33"/>
    </sheetView>
  </sheetViews>
  <sheetFormatPr baseColWidth="10" defaultColWidth="8.83203125" defaultRowHeight="18"/>
  <cols>
    <col min="2" max="2" width="4.33203125" customWidth="1"/>
    <col min="3" max="3" width="8.83203125" customWidth="1"/>
    <col min="4" max="4" width="17.5" customWidth="1"/>
    <col min="5" max="5" width="13" bestFit="1" customWidth="1"/>
    <col min="6" max="6" width="13.5" customWidth="1"/>
    <col min="7" max="7" width="11.5" customWidth="1"/>
    <col min="9" max="9" width="24.1640625" customWidth="1"/>
    <col min="11" max="11" width="11.1640625" customWidth="1"/>
    <col min="12" max="12" width="15.33203125" customWidth="1"/>
  </cols>
  <sheetData>
    <row r="1" spans="2:12">
      <c r="K1" s="7" t="s">
        <v>13</v>
      </c>
      <c r="L1" s="9">
        <v>123456</v>
      </c>
    </row>
    <row r="2" spans="2:12" ht="24">
      <c r="B2" s="1" t="s">
        <v>48</v>
      </c>
      <c r="K2" s="7" t="s">
        <v>49</v>
      </c>
      <c r="L2" s="7">
        <v>202305</v>
      </c>
    </row>
    <row r="3" spans="2:12" ht="24">
      <c r="B3" s="1" t="s">
        <v>50</v>
      </c>
      <c r="K3" s="7" t="s">
        <v>19</v>
      </c>
      <c r="L3" s="8">
        <v>45078</v>
      </c>
    </row>
    <row r="5" spans="2:12" ht="24">
      <c r="B5" s="1"/>
      <c r="C5" s="6"/>
      <c r="D5" s="1" t="s">
        <v>51</v>
      </c>
    </row>
    <row r="6" spans="2:12" ht="24">
      <c r="B6" s="1" t="s">
        <v>20</v>
      </c>
      <c r="C6" s="12"/>
      <c r="D6" s="13">
        <v>123456</v>
      </c>
    </row>
    <row r="7" spans="2:12" ht="24">
      <c r="B7" s="12" t="s">
        <v>52</v>
      </c>
      <c r="C7" s="12"/>
      <c r="D7" s="12" t="s">
        <v>53</v>
      </c>
    </row>
    <row r="9" spans="2:12" ht="31">
      <c r="E9" s="141" t="s">
        <v>22</v>
      </c>
      <c r="F9" s="141"/>
      <c r="G9" s="141"/>
    </row>
    <row r="10" spans="2:12" ht="24">
      <c r="I10" s="14" t="s">
        <v>54</v>
      </c>
    </row>
    <row r="12" spans="2:12" ht="24">
      <c r="G12" s="1" t="s">
        <v>23</v>
      </c>
      <c r="H12" s="12" t="s">
        <v>55</v>
      </c>
    </row>
    <row r="13" spans="2:12" ht="24">
      <c r="G13" s="12"/>
      <c r="H13" s="12"/>
    </row>
    <row r="14" spans="2:12" ht="24">
      <c r="G14" s="12" t="s">
        <v>26</v>
      </c>
      <c r="H14" s="12" t="s">
        <v>56</v>
      </c>
    </row>
    <row r="15" spans="2:12" ht="24">
      <c r="G15" s="12"/>
      <c r="H15" s="12"/>
    </row>
    <row r="16" spans="2:12" ht="24">
      <c r="G16" s="12" t="s">
        <v>28</v>
      </c>
      <c r="H16" s="12" t="s">
        <v>57</v>
      </c>
    </row>
    <row r="17" spans="2:9" ht="24">
      <c r="G17" s="12" t="s">
        <v>29</v>
      </c>
      <c r="H17" s="12" t="s">
        <v>58</v>
      </c>
    </row>
    <row r="18" spans="2:9" ht="24">
      <c r="G18" s="12" t="s">
        <v>30</v>
      </c>
      <c r="H18" s="12" t="s">
        <v>59</v>
      </c>
    </row>
    <row r="20" spans="2:9" ht="20">
      <c r="B20" s="11" t="s">
        <v>60</v>
      </c>
    </row>
    <row r="21" spans="2:9">
      <c r="B21" t="s">
        <v>61</v>
      </c>
    </row>
    <row r="23" spans="2:9" ht="31">
      <c r="D23" s="15" t="s">
        <v>62</v>
      </c>
      <c r="E23" s="152">
        <v>125000</v>
      </c>
      <c r="F23" s="152"/>
      <c r="G23" s="16" t="s">
        <v>63</v>
      </c>
    </row>
    <row r="25" spans="2:9" ht="20">
      <c r="B25" s="142" t="s">
        <v>34</v>
      </c>
      <c r="C25" s="145">
        <v>10</v>
      </c>
      <c r="D25" s="148" t="s">
        <v>173</v>
      </c>
      <c r="E25" s="149"/>
      <c r="F25" s="149"/>
      <c r="G25" s="150"/>
      <c r="H25" s="25"/>
      <c r="I25" s="26"/>
    </row>
    <row r="26" spans="2:9" ht="20">
      <c r="B26" s="143"/>
      <c r="C26" s="146"/>
      <c r="D26" s="17" t="s">
        <v>15</v>
      </c>
      <c r="E26" s="18"/>
      <c r="F26" s="18"/>
      <c r="G26" s="19"/>
      <c r="H26" s="17"/>
      <c r="I26" s="20">
        <v>100000</v>
      </c>
    </row>
    <row r="27" spans="2:9" ht="20">
      <c r="B27" s="143"/>
      <c r="C27" s="146"/>
      <c r="D27" s="17" t="s">
        <v>64</v>
      </c>
      <c r="E27" s="18"/>
      <c r="F27" s="18"/>
      <c r="G27" s="19"/>
      <c r="H27" s="18"/>
      <c r="I27" s="20">
        <v>15000</v>
      </c>
    </row>
    <row r="28" spans="2:9" ht="20">
      <c r="B28" s="143"/>
      <c r="C28" s="146"/>
      <c r="D28" s="17" t="e">
        <f>VLOOKUP($L$1&amp;$L$2,#REF!,6,FALSE)&amp;""</f>
        <v>#REF!</v>
      </c>
      <c r="E28" s="18"/>
      <c r="F28" s="18"/>
      <c r="G28" s="19"/>
      <c r="H28" s="18"/>
      <c r="I28" s="20" t="str">
        <f>IFERROR(VALUE(VLOOKUP($L$1&amp;$L$2,#REF!,7,FALSE)&amp;""),"")</f>
        <v/>
      </c>
    </row>
    <row r="29" spans="2:9" ht="20">
      <c r="B29" s="143"/>
      <c r="C29" s="146"/>
      <c r="D29" s="17" t="e">
        <f>VLOOKUP($L$1&amp;$L$2,#REF!,8,FALSE)&amp;""</f>
        <v>#REF!</v>
      </c>
      <c r="E29" s="116">
        <v>46010</v>
      </c>
      <c r="F29" s="18"/>
      <c r="G29" s="19"/>
      <c r="H29" s="18"/>
      <c r="I29" s="20" t="str">
        <f>IFERROR(VALUE(VLOOKUP($L$1&amp;$L$2,#REF!,9,FALSE)&amp;""),"")</f>
        <v/>
      </c>
    </row>
    <row r="30" spans="2:9" ht="20">
      <c r="B30" s="143"/>
      <c r="C30" s="146"/>
      <c r="D30" s="17"/>
      <c r="E30" s="18"/>
      <c r="F30" s="18"/>
      <c r="G30" s="19"/>
      <c r="H30" s="18"/>
      <c r="I30" s="20"/>
    </row>
    <row r="31" spans="2:9" ht="20">
      <c r="B31" s="143"/>
      <c r="C31" s="146"/>
      <c r="D31" s="17"/>
      <c r="E31" s="18"/>
      <c r="F31" s="18"/>
      <c r="G31" s="19"/>
      <c r="H31" s="18">
        <f>H30</f>
        <v>0</v>
      </c>
      <c r="I31" s="19"/>
    </row>
    <row r="32" spans="2:9" ht="20">
      <c r="B32" s="143"/>
      <c r="C32" s="146"/>
      <c r="D32" s="17"/>
      <c r="E32" s="18"/>
      <c r="F32" s="18"/>
      <c r="G32" s="19"/>
      <c r="H32" s="18">
        <v>0</v>
      </c>
      <c r="I32" s="20"/>
    </row>
    <row r="33" spans="1:10" ht="20">
      <c r="B33" s="143"/>
      <c r="C33" s="146"/>
      <c r="D33" s="17"/>
      <c r="E33" s="18"/>
      <c r="F33" s="18"/>
      <c r="G33" s="19"/>
      <c r="H33" s="18"/>
      <c r="I33" s="19"/>
    </row>
    <row r="34" spans="1:10" ht="20">
      <c r="B34" s="143"/>
      <c r="C34" s="146"/>
      <c r="D34" s="17"/>
      <c r="E34" s="18"/>
      <c r="F34" s="18"/>
      <c r="G34" s="19"/>
      <c r="H34" s="18"/>
      <c r="I34" s="19"/>
    </row>
    <row r="35" spans="1:10" ht="20">
      <c r="B35" s="143"/>
      <c r="C35" s="147"/>
      <c r="D35" s="21"/>
      <c r="E35" s="22" t="s">
        <v>65</v>
      </c>
      <c r="F35" s="22" t="s">
        <v>38</v>
      </c>
      <c r="G35" s="23" t="s">
        <v>39</v>
      </c>
      <c r="H35" s="22" t="s">
        <v>66</v>
      </c>
      <c r="I35" s="24">
        <v>115000</v>
      </c>
    </row>
    <row r="36" spans="1:10" s="11" customFormat="1" ht="20.25" customHeight="1">
      <c r="B36" s="143"/>
      <c r="C36" s="151" t="s">
        <v>67</v>
      </c>
      <c r="D36" s="25"/>
      <c r="E36" s="31"/>
      <c r="F36" s="31"/>
      <c r="G36" s="26"/>
      <c r="H36" s="29"/>
      <c r="I36" s="32" t="s">
        <v>68</v>
      </c>
      <c r="J36" s="17"/>
    </row>
    <row r="37" spans="1:10" s="11" customFormat="1" ht="20.25" customHeight="1">
      <c r="B37" s="143"/>
      <c r="C37" s="146"/>
      <c r="D37" s="17" t="s">
        <v>67</v>
      </c>
      <c r="E37" s="18"/>
      <c r="F37" s="18"/>
      <c r="G37" s="19"/>
      <c r="H37" s="18"/>
      <c r="I37" s="20">
        <v>0</v>
      </c>
    </row>
    <row r="38" spans="1:10" s="11" customFormat="1" ht="20.25" customHeight="1">
      <c r="B38" s="143"/>
      <c r="C38" s="146"/>
      <c r="D38" s="17" t="s">
        <v>69</v>
      </c>
      <c r="E38" s="18"/>
      <c r="F38" s="18"/>
      <c r="G38" s="19"/>
      <c r="H38" s="18"/>
      <c r="I38" s="20">
        <v>0</v>
      </c>
    </row>
    <row r="39" spans="1:10" s="11" customFormat="1" ht="20.25" customHeight="1">
      <c r="B39" s="144"/>
      <c r="C39" s="147"/>
      <c r="D39" s="21"/>
      <c r="E39" s="22" t="s">
        <v>65</v>
      </c>
      <c r="F39" s="22" t="s">
        <v>67</v>
      </c>
      <c r="G39" s="23" t="s">
        <v>39</v>
      </c>
      <c r="H39" s="22" t="s">
        <v>70</v>
      </c>
      <c r="I39" s="24">
        <v>0</v>
      </c>
    </row>
    <row r="40" spans="1:10" ht="20">
      <c r="A40" s="4"/>
      <c r="B40" s="2"/>
      <c r="C40" s="29" t="s">
        <v>71</v>
      </c>
      <c r="D40" s="29"/>
      <c r="E40" s="29"/>
      <c r="F40" s="29"/>
      <c r="G40" s="26"/>
      <c r="H40" s="29"/>
      <c r="I40" s="26"/>
    </row>
    <row r="41" spans="1:10" ht="20">
      <c r="A41" s="4"/>
      <c r="B41" s="5"/>
      <c r="C41" s="11"/>
      <c r="D41" s="11"/>
      <c r="E41" s="11"/>
      <c r="F41" s="11" t="s">
        <v>38</v>
      </c>
      <c r="G41" s="19" t="s">
        <v>72</v>
      </c>
      <c r="H41" s="18"/>
      <c r="I41" s="30" t="s">
        <v>73</v>
      </c>
      <c r="J41" s="5"/>
    </row>
    <row r="42" spans="1:10" ht="20">
      <c r="A42" s="4"/>
      <c r="B42" s="3"/>
      <c r="C42" s="22"/>
      <c r="D42" s="22"/>
      <c r="E42" s="22"/>
      <c r="F42" s="27">
        <v>10000</v>
      </c>
      <c r="G42" s="28">
        <v>35000</v>
      </c>
      <c r="H42" s="22" t="s">
        <v>74</v>
      </c>
      <c r="I42" s="28">
        <v>10000</v>
      </c>
    </row>
  </sheetData>
  <mergeCells count="6">
    <mergeCell ref="E9:G9"/>
    <mergeCell ref="B25:B39"/>
    <mergeCell ref="C25:C35"/>
    <mergeCell ref="D25:G25"/>
    <mergeCell ref="C36:C39"/>
    <mergeCell ref="E23:F23"/>
  </mergeCells>
  <phoneticPr fontId="7"/>
  <pageMargins left="0.24" right="0.34" top="0.9" bottom="0.19" header="0.3" footer="1.87"/>
  <pageSetup paperSize="9" scale="61" orientation="portrait"/>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9B2D9-42CA-0548-8921-C9202CEE6D06}">
  <sheetPr codeName="Sheet42"/>
  <dimension ref="C25:H32"/>
  <sheetViews>
    <sheetView workbookViewId="0">
      <selection activeCell="L33" sqref="L33"/>
    </sheetView>
  </sheetViews>
  <sheetFormatPr baseColWidth="10" defaultRowHeight="18"/>
  <sheetData>
    <row r="25" spans="3:8" ht="20">
      <c r="C25" s="98">
        <v>10</v>
      </c>
      <c r="D25" s="98" t="s">
        <v>173</v>
      </c>
    </row>
    <row r="29" spans="3:8">
      <c r="E29" s="115">
        <v>46010</v>
      </c>
    </row>
    <row r="31" spans="3:8">
      <c r="H31">
        <f>H30</f>
        <v>0</v>
      </c>
    </row>
    <row r="32" spans="3:8">
      <c r="H32">
        <v>0</v>
      </c>
    </row>
  </sheetData>
  <phoneticPr fontId="7"/>
  <pageMargins left="0.7" right="0.7" top="0.75" bottom="0.75" header="0.3" footer="0.3"/>
  <pageSetup paperSize="9"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214673D67B12B4B862162A02C3C25B1" ma:contentTypeVersion="14" ma:contentTypeDescription="新しいドキュメントを作成します。" ma:contentTypeScope="" ma:versionID="fe715bc4dfe4e46beef9db122f2c7b81">
  <xsd:schema xmlns:xsd="http://www.w3.org/2001/XMLSchema" xmlns:xs="http://www.w3.org/2001/XMLSchema" xmlns:p="http://schemas.microsoft.com/office/2006/metadata/properties" xmlns:ns2="f59a0e88-f617-4302-aa21-5874cd3a9ef1" xmlns:ns3="2f9469e1-bf9b-4902-bebb-3ecd2defd956" targetNamespace="http://schemas.microsoft.com/office/2006/metadata/properties" ma:root="true" ma:fieldsID="cc915b143484529d7f4a5f5942dcce1f" ns2:_="" ns3:_="">
    <xsd:import namespace="f59a0e88-f617-4302-aa21-5874cd3a9ef1"/>
    <xsd:import namespace="2f9469e1-bf9b-4902-bebb-3ecd2defd95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SearchProperties"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9a0e88-f617-4302-aa21-5874cd3a9ef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3a98b7f1-1c23-4050-b2b0-6a3b382e3865"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f9469e1-bf9b-4902-bebb-3ecd2defd956"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e1ad6d95-963a-4d56-abbd-bd74ed0c0bde}" ma:internalName="TaxCatchAll" ma:showField="CatchAllData" ma:web="2f9469e1-bf9b-4902-bebb-3ecd2defd9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59a0e88-f617-4302-aa21-5874cd3a9ef1">
      <Terms xmlns="http://schemas.microsoft.com/office/infopath/2007/PartnerControls"/>
    </lcf76f155ced4ddcb4097134ff3c332f>
    <TaxCatchAll xmlns="2f9469e1-bf9b-4902-bebb-3ecd2defd956" xsi:nil="true"/>
  </documentManagement>
</p:properties>
</file>

<file path=customXml/itemProps1.xml><?xml version="1.0" encoding="utf-8"?>
<ds:datastoreItem xmlns:ds="http://schemas.openxmlformats.org/officeDocument/2006/customXml" ds:itemID="{498C526B-6C89-49ED-A294-4B54B769794A}">
  <ds:schemaRefs>
    <ds:schemaRef ds:uri="http://schemas.microsoft.com/sharepoint/v3/contenttype/forms"/>
  </ds:schemaRefs>
</ds:datastoreItem>
</file>

<file path=customXml/itemProps2.xml><?xml version="1.0" encoding="utf-8"?>
<ds:datastoreItem xmlns:ds="http://schemas.openxmlformats.org/officeDocument/2006/customXml" ds:itemID="{E9D5FD85-7A0C-48DD-85FE-B89BC249D8C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59a0e88-f617-4302-aa21-5874cd3a9ef1"/>
    <ds:schemaRef ds:uri="2f9469e1-bf9b-4902-bebb-3ecd2defd9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DC9CF78-AD34-4963-BD15-C8D054FABEBF}">
  <ds:schemaRefs>
    <ds:schemaRef ds:uri="http://schemas.microsoft.com/office/2006/metadata/properties"/>
    <ds:schemaRef ds:uri="http://schemas.microsoft.com/office/infopath/2007/PartnerControls"/>
    <ds:schemaRef ds:uri="f59a0e88-f617-4302-aa21-5874cd3a9ef1"/>
    <ds:schemaRef ds:uri="2f9469e1-bf9b-4902-bebb-3ecd2defd956"/>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58</vt:i4>
      </vt:variant>
      <vt:variant>
        <vt:lpstr>名前付き一覧</vt:lpstr>
      </vt:variant>
      <vt:variant>
        <vt:i4>55</vt:i4>
      </vt:variant>
    </vt:vector>
  </HeadingPairs>
  <TitlesOfParts>
    <vt:vector size="113" baseType="lpstr">
      <vt:lpstr>事業者情報</vt:lpstr>
      <vt:lpstr>受給者情報</vt:lpstr>
      <vt:lpstr>岡田</vt:lpstr>
      <vt:lpstr>植山</vt:lpstr>
      <vt:lpstr>成田</vt:lpstr>
      <vt:lpstr>西濱</vt:lpstr>
      <vt:lpstr>榊原</vt:lpstr>
      <vt:lpstr>朝原</vt:lpstr>
      <vt:lpstr>西出</vt:lpstr>
      <vt:lpstr>村瀬</vt:lpstr>
      <vt:lpstr>天野</vt:lpstr>
      <vt:lpstr>東原</vt:lpstr>
      <vt:lpstr>篠田</vt:lpstr>
      <vt:lpstr>斉藤</vt:lpstr>
      <vt:lpstr>磯村</vt:lpstr>
      <vt:lpstr>古池</vt:lpstr>
      <vt:lpstr>芦澤</vt:lpstr>
      <vt:lpstr>西山</vt:lpstr>
      <vt:lpstr>筒井</vt:lpstr>
      <vt:lpstr>加藤</vt:lpstr>
      <vt:lpstr>森口</vt:lpstr>
      <vt:lpstr>長尾</vt:lpstr>
      <vt:lpstr>福田</vt:lpstr>
      <vt:lpstr>葛原</vt:lpstr>
      <vt:lpstr>蟹江</vt:lpstr>
      <vt:lpstr>二方</vt:lpstr>
      <vt:lpstr>長谷部</vt:lpstr>
      <vt:lpstr>中田</vt:lpstr>
      <vt:lpstr>加藤大輔</vt:lpstr>
      <vt:lpstr>花井</vt:lpstr>
      <vt:lpstr>安田</vt:lpstr>
      <vt:lpstr>ローダジャス</vt:lpstr>
      <vt:lpstr>荒川</vt:lpstr>
      <vt:lpstr>須原</vt:lpstr>
      <vt:lpstr>中島</vt:lpstr>
      <vt:lpstr>小林</vt:lpstr>
      <vt:lpstr>中村</vt:lpstr>
      <vt:lpstr>飯久保</vt:lpstr>
      <vt:lpstr>渕上</vt:lpstr>
      <vt:lpstr>鈴木友瑠</vt:lpstr>
      <vt:lpstr>蟹江くるみ</vt:lpstr>
      <vt:lpstr>三輪</vt:lpstr>
      <vt:lpstr>黒田</vt:lpstr>
      <vt:lpstr>磯村英男</vt:lpstr>
      <vt:lpstr>端慶山</vt:lpstr>
      <vt:lpstr>栗木</vt:lpstr>
      <vt:lpstr>井野</vt:lpstr>
      <vt:lpstr>佐野</vt:lpstr>
      <vt:lpstr>阿南</vt:lpstr>
      <vt:lpstr>西山希望</vt:lpstr>
      <vt:lpstr>吉田</vt:lpstr>
      <vt:lpstr>猿子</vt:lpstr>
      <vt:lpstr>酒井</vt:lpstr>
      <vt:lpstr>公文</vt:lpstr>
      <vt:lpstr>長坂</vt:lpstr>
      <vt:lpstr>新見</vt:lpstr>
      <vt:lpstr>サンプル</vt:lpstr>
      <vt:lpstr>Sheet21</vt:lpstr>
      <vt:lpstr>サンプル!Print_Area</vt:lpstr>
      <vt:lpstr>ローダジャス!Print_Area</vt:lpstr>
      <vt:lpstr>阿南!Print_Area</vt:lpstr>
      <vt:lpstr>芦澤!Print_Area</vt:lpstr>
      <vt:lpstr>安田!Print_Area</vt:lpstr>
      <vt:lpstr>井野!Print_Area</vt:lpstr>
      <vt:lpstr>磯村!Print_Area</vt:lpstr>
      <vt:lpstr>磯村英男!Print_Area</vt:lpstr>
      <vt:lpstr>猿子!Print_Area</vt:lpstr>
      <vt:lpstr>岡田!Print_Area</vt:lpstr>
      <vt:lpstr>加藤!Print_Area</vt:lpstr>
      <vt:lpstr>加藤大輔!Print_Area</vt:lpstr>
      <vt:lpstr>花井!Print_Area</vt:lpstr>
      <vt:lpstr>蟹江!Print_Area</vt:lpstr>
      <vt:lpstr>蟹江くるみ!Print_Area</vt:lpstr>
      <vt:lpstr>葛原!Print_Area</vt:lpstr>
      <vt:lpstr>吉田!Print_Area</vt:lpstr>
      <vt:lpstr>栗木!Print_Area</vt:lpstr>
      <vt:lpstr>古池!Print_Area</vt:lpstr>
      <vt:lpstr>公文!Print_Area</vt:lpstr>
      <vt:lpstr>荒川!Print_Area</vt:lpstr>
      <vt:lpstr>黒田!Print_Area</vt:lpstr>
      <vt:lpstr>佐野!Print_Area</vt:lpstr>
      <vt:lpstr>榊原!Print_Area</vt:lpstr>
      <vt:lpstr>三輪!Print_Area</vt:lpstr>
      <vt:lpstr>篠田!Print_Area</vt:lpstr>
      <vt:lpstr>酒井!Print_Area</vt:lpstr>
      <vt:lpstr>小林!Print_Area</vt:lpstr>
      <vt:lpstr>植山!Print_Area</vt:lpstr>
      <vt:lpstr>新見!Print_Area</vt:lpstr>
      <vt:lpstr>森口!Print_Area</vt:lpstr>
      <vt:lpstr>須原!Print_Area</vt:lpstr>
      <vt:lpstr>成田!Print_Area</vt:lpstr>
      <vt:lpstr>西山!Print_Area</vt:lpstr>
      <vt:lpstr>西山希望!Print_Area</vt:lpstr>
      <vt:lpstr>西出!Print_Area</vt:lpstr>
      <vt:lpstr>西濱!Print_Area</vt:lpstr>
      <vt:lpstr>斉藤!Print_Area</vt:lpstr>
      <vt:lpstr>村瀬!Print_Area</vt:lpstr>
      <vt:lpstr>端慶山!Print_Area</vt:lpstr>
      <vt:lpstr>中村!Print_Area</vt:lpstr>
      <vt:lpstr>中田!Print_Area</vt:lpstr>
      <vt:lpstr>中島!Print_Area</vt:lpstr>
      <vt:lpstr>朝原!Print_Area</vt:lpstr>
      <vt:lpstr>長坂!Print_Area</vt:lpstr>
      <vt:lpstr>長谷部!Print_Area</vt:lpstr>
      <vt:lpstr>長尾!Print_Area</vt:lpstr>
      <vt:lpstr>天野!Print_Area</vt:lpstr>
      <vt:lpstr>東原!Print_Area</vt:lpstr>
      <vt:lpstr>筒井!Print_Area</vt:lpstr>
      <vt:lpstr>二方!Print_Area</vt:lpstr>
      <vt:lpstr>飯久保!Print_Area</vt:lpstr>
      <vt:lpstr>福田!Print_Area</vt:lpstr>
      <vt:lpstr>鈴木友瑠!Print_Area</vt:lpstr>
      <vt:lpstr>渕上!Print_Area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本迫 彬子</cp:lastModifiedBy>
  <cp:revision/>
  <cp:lastPrinted>2026-02-19T08:48:36Z</cp:lastPrinted>
  <dcterms:created xsi:type="dcterms:W3CDTF">2023-01-13T04:49:15Z</dcterms:created>
  <dcterms:modified xsi:type="dcterms:W3CDTF">2026-02-24T06:22:53Z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0x0101002214673D67B12B4B862162A02C3C25B1</vt:lpwstr>
  </property>
  <property fmtid="{D5CDD505-2E9C-101B-9397-08002B2CF9AE}" pid="3" name="MediaServiceImageTags">
    <vt:lpwstr/>
  </property>
</Properties>
</file>